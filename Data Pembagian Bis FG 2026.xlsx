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335" activeTab="2"/>
  </bookViews>
  <sheets>
    <sheet name="Percetakan" sheetId="1" r:id="rId1"/>
    <sheet name=" Percetakan 2" sheetId="2" r:id="rId2"/>
    <sheet name="A. Yani &amp; GPA" sheetId="3" r:id="rId3"/>
    <sheet name="Bekasi" sheetId="4" r:id="rId4"/>
  </sheets>
  <definedNames>
    <definedName name="_xlnm.Print_Area" localSheetId="1">' Percetakan 2'!$I$1:$K$34</definedName>
    <definedName name="_xlnm.Print_Area" localSheetId="2">'A. Yani &amp; GPA'!$E$2:$G$24</definedName>
    <definedName name="_xlnm.Print_Area" localSheetId="3">Bekasi!$A$2:$C$22</definedName>
    <definedName name="_xlnm.Print_Area" localSheetId="0">Percetakan!$E$1:$G$32</definedName>
  </definedNames>
  <calcPr calcId="152511"/>
</workbook>
</file>

<file path=xl/calcChain.xml><?xml version="1.0" encoding="utf-8"?>
<calcChain xmlns="http://schemas.openxmlformats.org/spreadsheetml/2006/main">
  <c r="A7" i="1" l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6" i="1"/>
  <c r="A11" i="3"/>
  <c r="A12" i="3" s="1"/>
  <c r="A13" i="3" s="1"/>
  <c r="A14" i="3" s="1"/>
  <c r="A15" i="3" s="1"/>
  <c r="A16" i="3" s="1"/>
  <c r="C33" i="3" l="1"/>
  <c r="A7" i="3"/>
  <c r="A8" i="3" s="1"/>
  <c r="A9" i="3" s="1"/>
  <c r="A10" i="3" s="1"/>
  <c r="A17" i="3" s="1"/>
  <c r="A18" i="3" s="1"/>
  <c r="A19" i="3" s="1"/>
  <c r="A20" i="3" s="1"/>
  <c r="A21" i="3" s="1"/>
  <c r="A22" i="3" s="1"/>
  <c r="A23" i="3" s="1"/>
  <c r="A24" i="3" s="1"/>
  <c r="A25" i="3" s="1"/>
  <c r="C23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6" i="3" l="1"/>
  <c r="A27" i="3" s="1"/>
  <c r="A28" i="3" s="1"/>
  <c r="A29" i="3" s="1"/>
  <c r="A30" i="3" s="1"/>
  <c r="A31" i="3" s="1"/>
  <c r="A32" i="3" s="1"/>
  <c r="C26" i="1"/>
  <c r="A16" i="2" l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G32" i="1"/>
  <c r="K30" i="1" l="1"/>
  <c r="C30" i="2"/>
  <c r="G34" i="2"/>
  <c r="K34" i="2"/>
  <c r="G24" i="3"/>
  <c r="O13" i="3"/>
  <c r="K40" i="3"/>
  <c r="M7" i="3"/>
  <c r="M8" i="3" s="1"/>
  <c r="M9" i="3" s="1"/>
  <c r="M10" i="3" s="1"/>
  <c r="M11" i="3" s="1"/>
  <c r="M12" i="3" s="1"/>
  <c r="M13" i="3" s="1"/>
  <c r="I7" i="3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I30" i="3" l="1"/>
  <c r="I31" i="3" s="1"/>
  <c r="I32" i="3" s="1"/>
  <c r="I33" i="3" s="1"/>
  <c r="I34" i="3" s="1"/>
  <c r="I35" i="3" s="1"/>
  <c r="I36" i="3" s="1"/>
  <c r="I37" i="3" s="1"/>
  <c r="I38" i="3" s="1"/>
  <c r="I39" i="3" s="1"/>
  <c r="I6" i="2"/>
  <c r="I6" i="1" l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A19" i="1"/>
  <c r="A20" i="1" s="1"/>
  <c r="A21" i="1" s="1"/>
  <c r="A22" i="1" s="1"/>
  <c r="A23" i="1" s="1"/>
  <c r="A24" i="1" s="1"/>
  <c r="A25" i="1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I24" i="2" s="1"/>
  <c r="I25" i="2" l="1"/>
  <c r="I26" i="2" s="1"/>
  <c r="I27" i="2" s="1"/>
  <c r="I28" i="2" s="1"/>
  <c r="I29" i="2" s="1"/>
  <c r="I30" i="2" s="1"/>
  <c r="I31" i="2" s="1"/>
  <c r="I32" i="2" s="1"/>
  <c r="I33" i="2" s="1"/>
</calcChain>
</file>

<file path=xl/sharedStrings.xml><?xml version="1.0" encoding="utf-8"?>
<sst xmlns="http://schemas.openxmlformats.org/spreadsheetml/2006/main" count="314" uniqueCount="276">
  <si>
    <t>Nama</t>
  </si>
  <si>
    <t>Jumlah</t>
  </si>
  <si>
    <t>No.</t>
  </si>
  <si>
    <t>BIS 4</t>
  </si>
  <si>
    <t>BIS 5</t>
  </si>
  <si>
    <t>BIS 6</t>
  </si>
  <si>
    <t>BIS 1</t>
  </si>
  <si>
    <t>BIS 2</t>
  </si>
  <si>
    <t>BIS 3</t>
  </si>
  <si>
    <t>Hery Triyanto</t>
  </si>
  <si>
    <t>Fany</t>
  </si>
  <si>
    <t>Aryo Catur Nugroho</t>
  </si>
  <si>
    <t>Kurniawan Wahyu Sejati</t>
  </si>
  <si>
    <t xml:space="preserve">Errol Saroinsong  </t>
  </si>
  <si>
    <t>Julian Jeane Patty</t>
  </si>
  <si>
    <t xml:space="preserve">Sari Astuti </t>
  </si>
  <si>
    <t xml:space="preserve">Fransiskus Darman </t>
  </si>
  <si>
    <t xml:space="preserve">Steven Kalff </t>
  </si>
  <si>
    <t xml:space="preserve">Puji Prasetyo </t>
  </si>
  <si>
    <t>Periantoni Sibarani</t>
  </si>
  <si>
    <t>Julian Putra Loen</t>
  </si>
  <si>
    <t xml:space="preserve">Erwin Amung </t>
  </si>
  <si>
    <t>TOTAL :</t>
  </si>
  <si>
    <t xml:space="preserve">Romen Situngkir </t>
  </si>
  <si>
    <t>Rut Apriyanti Simanjuntak</t>
  </si>
  <si>
    <t xml:space="preserve">Feriandi </t>
  </si>
  <si>
    <t>Kevin Andreas Sihombing</t>
  </si>
  <si>
    <t>Prihandiany</t>
  </si>
  <si>
    <t xml:space="preserve">Andrew Giovaldo Frankline Kaiya </t>
  </si>
  <si>
    <t xml:space="preserve">Wahyu Hosea Putra Sitorus  </t>
  </si>
  <si>
    <t>Atalya Bellen</t>
  </si>
  <si>
    <t>Julianto Pardede</t>
  </si>
  <si>
    <t>Paschal Reiner Rumagit</t>
  </si>
  <si>
    <t>Ir. Anthonius Siahaan, MM</t>
  </si>
  <si>
    <t xml:space="preserve">Vitri Yunita Tanamal, SE </t>
  </si>
  <si>
    <t>Amanda Aitonam</t>
  </si>
  <si>
    <t>Jemmy Melkhias Toelle</t>
  </si>
  <si>
    <t>Doni Krisguntoro</t>
  </si>
  <si>
    <t>Novalina Darlia Lumban Gaol</t>
  </si>
  <si>
    <t>Carla Elizabeth Pattiasina</t>
  </si>
  <si>
    <t>Elisabet Br. Sembiring</t>
  </si>
  <si>
    <t>Catherine Zefania</t>
  </si>
  <si>
    <t>Dorkas Koni</t>
  </si>
  <si>
    <t>Arkalaus Sylvester Seno</t>
  </si>
  <si>
    <t>Ramli Sibarani</t>
  </si>
  <si>
    <t>Noor Erwin Widodo</t>
  </si>
  <si>
    <t>Helena Mercia</t>
  </si>
  <si>
    <t>Gratia Grace Manuel</t>
  </si>
  <si>
    <t>Nurhayati Sinambela, SH</t>
  </si>
  <si>
    <r>
      <t>Jesni Darwani Siagian</t>
    </r>
    <r>
      <rPr>
        <sz val="12"/>
        <color rgb="FFFF0000"/>
        <rFont val="Calibri"/>
        <family val="2"/>
      </rPr>
      <t xml:space="preserve"> </t>
    </r>
  </si>
  <si>
    <t>Tri Agus Widaryanto</t>
  </si>
  <si>
    <t>Krisensius Marco Vincent</t>
  </si>
  <si>
    <t>Markus Albiatar Siagian</t>
  </si>
  <si>
    <t>Tiara Afrilia Nababan</t>
  </si>
  <si>
    <t>Siti Sibarani</t>
  </si>
  <si>
    <t>Resa Subigyo</t>
  </si>
  <si>
    <t xml:space="preserve">Mardianto </t>
  </si>
  <si>
    <t>Wandi</t>
  </si>
  <si>
    <t>Elisawati Pinartauli Silalahi</t>
  </si>
  <si>
    <t>Rita</t>
  </si>
  <si>
    <t>Abraham Samuel Diaz Manggo</t>
  </si>
  <si>
    <t>Raden Bagus Timor Sukoco</t>
  </si>
  <si>
    <t>Sadeli Haryadi</t>
  </si>
  <si>
    <t>Kresna Prasetya</t>
  </si>
  <si>
    <t>Asep Jaelani</t>
  </si>
  <si>
    <t>Yana</t>
  </si>
  <si>
    <t>Sunarya</t>
  </si>
  <si>
    <t>Badrudin</t>
  </si>
  <si>
    <t>Hendra</t>
  </si>
  <si>
    <t>William Amung Waang</t>
  </si>
  <si>
    <t>Wincani Nazara</t>
  </si>
  <si>
    <t>Yoan Mailani Suitela</t>
  </si>
  <si>
    <t>Yohanes Paulus Rais</t>
  </si>
  <si>
    <t>Ratna Ningsih</t>
  </si>
  <si>
    <t>Ngatijan</t>
  </si>
  <si>
    <t>Erni Kusmiyati</t>
  </si>
  <si>
    <t>Mahpudin</t>
  </si>
  <si>
    <t>Milawati</t>
  </si>
  <si>
    <t>Heru</t>
  </si>
  <si>
    <t>Osih</t>
  </si>
  <si>
    <t>Iyan Permana</t>
  </si>
  <si>
    <t>Yohanes Panca Yoeniyanto</t>
  </si>
  <si>
    <t>Munawar</t>
  </si>
  <si>
    <t>Johanes Filemon</t>
  </si>
  <si>
    <t>Agus Suryana</t>
  </si>
  <si>
    <t>Resta Purba</t>
  </si>
  <si>
    <t>Usep Saepuloh</t>
  </si>
  <si>
    <t>Nurhasan</t>
  </si>
  <si>
    <t>Ipan Suryadi</t>
  </si>
  <si>
    <t>Yusuf Arifin</t>
  </si>
  <si>
    <t>Freddy Budiarto</t>
  </si>
  <si>
    <t>Wawan Gunawan</t>
  </si>
  <si>
    <t>Fitroh</t>
  </si>
  <si>
    <t>Agus Setiawan</t>
  </si>
  <si>
    <t xml:space="preserve">Diana Sainfalak </t>
  </si>
  <si>
    <t>Filda Lisia</t>
  </si>
  <si>
    <t>Ignatius Julio Sasi</t>
  </si>
  <si>
    <t>Antonio Putra Yuwono</t>
  </si>
  <si>
    <t>Wahyu Tri Cahyati</t>
  </si>
  <si>
    <t>Tri Ernawati</t>
  </si>
  <si>
    <t>Ai Noviyanti</t>
  </si>
  <si>
    <t>Al Dwiki Saputra</t>
  </si>
  <si>
    <t>Anita Karolina Kontra</t>
  </si>
  <si>
    <t>Dedi Supriyadi</t>
  </si>
  <si>
    <t>Dennis Fillano Bekak</t>
  </si>
  <si>
    <t>Tuniah</t>
  </si>
  <si>
    <t>Ucih Lestari</t>
  </si>
  <si>
    <t>Vivian Allyson</t>
  </si>
  <si>
    <t>Rian Gunawan</t>
  </si>
  <si>
    <t>Rosmery Sitorus</t>
  </si>
  <si>
    <t>Rusmana br. Tohang</t>
  </si>
  <si>
    <t>Samuel Albertus Hutajulu</t>
  </si>
  <si>
    <t>Siti Holimah</t>
  </si>
  <si>
    <t>Sri Wahyuningsih</t>
  </si>
  <si>
    <t>Suherman</t>
  </si>
  <si>
    <t>Supiyah</t>
  </si>
  <si>
    <t>Tio Putra Chaniago</t>
  </si>
  <si>
    <t>Martina Fenesia Barutressy</t>
  </si>
  <si>
    <t>Michael Ignatius Siagian</t>
  </si>
  <si>
    <t>Mohammad Erwin Maulana</t>
  </si>
  <si>
    <t>Muhamad Saepuloh</t>
  </si>
  <si>
    <t>Muhammad Pebryan Syah</t>
  </si>
  <si>
    <t>Munah</t>
  </si>
  <si>
    <t>Nurhayati</t>
  </si>
  <si>
    <t>Entin Kartini</t>
  </si>
  <si>
    <t>Firmansyah</t>
  </si>
  <si>
    <t>Frieda Sengkay</t>
  </si>
  <si>
    <t>Gideon Febrian Banary</t>
  </si>
  <si>
    <t>Gideon Lumban Raja</t>
  </si>
  <si>
    <t>Heni</t>
  </si>
  <si>
    <t>Iir Irwanto</t>
  </si>
  <si>
    <t>Jose Gunawan</t>
  </si>
  <si>
    <t>Komariah</t>
  </si>
  <si>
    <t>Kurniawati</t>
  </si>
  <si>
    <t>Yulianti</t>
  </si>
  <si>
    <t>Markus Suitela (ikut tour safari di lokasi)</t>
  </si>
  <si>
    <t>Albert Imanuel Rumagit</t>
  </si>
  <si>
    <t>BIS 7</t>
  </si>
  <si>
    <t>BIS 8</t>
  </si>
  <si>
    <t>Adelin Lisa Rengkung</t>
  </si>
  <si>
    <t xml:space="preserve">Lidiya Tiatira </t>
  </si>
  <si>
    <t>Pesta Dameria Tobing</t>
  </si>
  <si>
    <t>Chiquitita Kenia Tabitha Dani</t>
  </si>
  <si>
    <t xml:space="preserve">Kristianto Eko Budiarto </t>
  </si>
  <si>
    <t>Pius Ramli</t>
  </si>
  <si>
    <t xml:space="preserve">Salahudin </t>
  </si>
  <si>
    <t>Arnins Anggiat Hutabarat</t>
  </si>
  <si>
    <t xml:space="preserve">Parningotan Sihombing </t>
  </si>
  <si>
    <t>Ette Kura Karesina</t>
  </si>
  <si>
    <t xml:space="preserve">Itang Rusadi </t>
  </si>
  <si>
    <t xml:space="preserve">Maria Reke </t>
  </si>
  <si>
    <t>Angki Christin, SE</t>
  </si>
  <si>
    <t xml:space="preserve">Yogi Dwi Hartantyo </t>
  </si>
  <si>
    <t xml:space="preserve">Lestari Maylany </t>
  </si>
  <si>
    <t>Gridita Dwi Pratiwi</t>
  </si>
  <si>
    <t>Yosep Aryo Kristianto</t>
  </si>
  <si>
    <r>
      <t>Helfia Henselika Suradey Putri</t>
    </r>
    <r>
      <rPr>
        <i/>
        <sz val="12"/>
        <rFont val="Calibri"/>
        <family val="2"/>
      </rPr>
      <t xml:space="preserve"> </t>
    </r>
  </si>
  <si>
    <t>Maria Frans (PIC Konsumsi 7)</t>
  </si>
  <si>
    <t>TOTAL</t>
  </si>
  <si>
    <t>Supriyadi</t>
  </si>
  <si>
    <t>Heri Kandarrisman</t>
  </si>
  <si>
    <t>Amir Mahmud</t>
  </si>
  <si>
    <t>Everyan Suhendar</t>
  </si>
  <si>
    <t>Yopi Irawan</t>
  </si>
  <si>
    <t xml:space="preserve">Titus Wylie Aprianto </t>
  </si>
  <si>
    <t>Oktavianus Dendhi</t>
  </si>
  <si>
    <t>Abram Eduard Pattiasina</t>
  </si>
  <si>
    <t>Andreanus Agung Tri Prabowo</t>
  </si>
  <si>
    <t>Dahlan</t>
  </si>
  <si>
    <t>Dwiki Putra Bachrul Ilmi</t>
  </si>
  <si>
    <t>Idris</t>
  </si>
  <si>
    <t>Nilam Cahya</t>
  </si>
  <si>
    <t>Teofilus Joseph Gani</t>
  </si>
  <si>
    <t>Valentinus</t>
  </si>
  <si>
    <t>Yohanes Farrel Aditya</t>
  </si>
  <si>
    <t>Imanuel Raya Ginting</t>
  </si>
  <si>
    <t>Rehuel Vando Zefanya Rapali</t>
  </si>
  <si>
    <t>Ryan Josep</t>
  </si>
  <si>
    <t>Wati Aryati Hutapea</t>
  </si>
  <si>
    <t>Heisye Rut Posumah</t>
  </si>
  <si>
    <t>BIS 9</t>
  </si>
  <si>
    <t>Santhy Gloria Okvina, SS</t>
  </si>
  <si>
    <t>Agustinus Samuel Abraham Ponamon</t>
  </si>
  <si>
    <t xml:space="preserve">Krista Steviani Palangi </t>
  </si>
  <si>
    <t xml:space="preserve">Richo Washington Steven Sianipar </t>
  </si>
  <si>
    <t>Galuh Ajeng Virani</t>
  </si>
  <si>
    <t>Bezaleel</t>
  </si>
  <si>
    <t>Victori Eljakim Saetakala, S.Komp</t>
  </si>
  <si>
    <t xml:space="preserve">Geri Lineker </t>
  </si>
  <si>
    <t xml:space="preserve">Laksono Pambudi </t>
  </si>
  <si>
    <t xml:space="preserve">Hizkia Yosurandri </t>
  </si>
  <si>
    <r>
      <t>Rossylie Marchia Paulus</t>
    </r>
    <r>
      <rPr>
        <i/>
        <sz val="12"/>
        <rFont val="Calibri"/>
        <family val="2"/>
      </rPr>
      <t xml:space="preserve"> </t>
    </r>
  </si>
  <si>
    <t xml:space="preserve">Vergi Vannes Pandelaki </t>
  </si>
  <si>
    <t>Giofbless David Maramis</t>
  </si>
  <si>
    <t>Joseph</t>
  </si>
  <si>
    <t xml:space="preserve">Martin Timothy Silitonga </t>
  </si>
  <si>
    <t xml:space="preserve">Bonita Panjaitan </t>
  </si>
  <si>
    <t>Daniel Sochinafao Christian</t>
  </si>
  <si>
    <t>Tirza Pertiwi Harminto</t>
  </si>
  <si>
    <r>
      <t>Evi Larosa Sidabutar</t>
    </r>
    <r>
      <rPr>
        <sz val="12"/>
        <color rgb="FFFF0000"/>
        <rFont val="Calibri"/>
        <family val="2"/>
      </rPr>
      <t xml:space="preserve"> </t>
    </r>
  </si>
  <si>
    <r>
      <t>Carolina Marlissa</t>
    </r>
    <r>
      <rPr>
        <i/>
        <sz val="12"/>
        <rFont val="Calibri"/>
        <family val="2"/>
      </rPr>
      <t xml:space="preserve"> </t>
    </r>
  </si>
  <si>
    <t>Pitter Maanana, SE</t>
  </si>
  <si>
    <t>Markus Johan S</t>
  </si>
  <si>
    <r>
      <t>Yunita Butarbutar</t>
    </r>
    <r>
      <rPr>
        <i/>
        <sz val="12"/>
        <color rgb="FFFF0000"/>
        <rFont val="Calibri"/>
        <family val="2"/>
      </rPr>
      <t xml:space="preserve"> </t>
    </r>
  </si>
  <si>
    <r>
      <t>Lirfa Ravika Sinaga</t>
    </r>
    <r>
      <rPr>
        <i/>
        <sz val="12"/>
        <rFont val="Calibri"/>
        <family val="2"/>
      </rPr>
      <t xml:space="preserve"> </t>
    </r>
  </si>
  <si>
    <t>Anwar Tjen</t>
  </si>
  <si>
    <t>Didin Oktavia Prihadini, SS</t>
  </si>
  <si>
    <t xml:space="preserve">Gabriella Febrina </t>
  </si>
  <si>
    <t xml:space="preserve">Gamaliel Lukas Kanter </t>
  </si>
  <si>
    <t xml:space="preserve">Joni Timotius Pakpahan </t>
  </si>
  <si>
    <t>Victoria Astrid Covenant Sapulete</t>
  </si>
  <si>
    <t>Ilyas</t>
  </si>
  <si>
    <t xml:space="preserve">Sarmadan </t>
  </si>
  <si>
    <t xml:space="preserve">Amar Ma'Ruf </t>
  </si>
  <si>
    <t>Rita Riyati</t>
  </si>
  <si>
    <t xml:space="preserve">Julia Lestari </t>
  </si>
  <si>
    <t>Stevani Jeanet</t>
  </si>
  <si>
    <t>Elfrida Eufunny</t>
  </si>
  <si>
    <t>Yulinda Gita Angely Sianturi</t>
  </si>
  <si>
    <t>Tuhas Saloh</t>
  </si>
  <si>
    <t>Pujadmiko</t>
  </si>
  <si>
    <t>Total</t>
  </si>
  <si>
    <t>Fahrizal Zainal ( PIC )</t>
  </si>
  <si>
    <t>A</t>
  </si>
  <si>
    <t>BIS 10</t>
  </si>
  <si>
    <t>Mikha Sepdiani Kusuma Wardhani, SE (Konsumsi)</t>
  </si>
  <si>
    <r>
      <t>Costaria Rut Saragi</t>
    </r>
    <r>
      <rPr>
        <i/>
        <sz val="12"/>
        <rFont val="Calibri"/>
        <family val="2"/>
      </rPr>
      <t xml:space="preserve"> </t>
    </r>
  </si>
  <si>
    <t>Christiyani Zegy Patricia Violeta Patianom</t>
  </si>
  <si>
    <t>Erna Yulianawati, S.Th</t>
  </si>
  <si>
    <t xml:space="preserve">Retla Wailan </t>
  </si>
  <si>
    <t>Indra Junedi Pasaribu</t>
  </si>
  <si>
    <t>Bitisda Sibagariang</t>
  </si>
  <si>
    <t>Mariyam Saptorini, SE</t>
  </si>
  <si>
    <t xml:space="preserve">Lukas Mariyanto </t>
  </si>
  <si>
    <t xml:space="preserve">Perlando </t>
  </si>
  <si>
    <t xml:space="preserve">Anggun Nurhayati </t>
  </si>
  <si>
    <t>Edward</t>
  </si>
  <si>
    <t>Daniel Hasiholan Tambunan</t>
  </si>
  <si>
    <t>Debora Ester Siregar</t>
  </si>
  <si>
    <t>Lydia Rina Sukmasari, SE</t>
  </si>
  <si>
    <t>Munaedi</t>
  </si>
  <si>
    <t>Sri Maryati</t>
  </si>
  <si>
    <t>Ria Oktaria</t>
  </si>
  <si>
    <t>Fitri Yani Suniar</t>
  </si>
  <si>
    <t>Erni Nurdin</t>
  </si>
  <si>
    <t>Aidah</t>
  </si>
  <si>
    <t>Endang Sutisna</t>
  </si>
  <si>
    <t>Nenih</t>
  </si>
  <si>
    <t>Ading</t>
  </si>
  <si>
    <t>Aminah</t>
  </si>
  <si>
    <t>Asih Sukaesih</t>
  </si>
  <si>
    <t>Dwi Nando</t>
  </si>
  <si>
    <t>Kholifah</t>
  </si>
  <si>
    <t>Rudi Iskandar</t>
  </si>
  <si>
    <t>Murtini</t>
  </si>
  <si>
    <t>Pidia Utami</t>
  </si>
  <si>
    <t>Remy</t>
  </si>
  <si>
    <t>Siti Juriah</t>
  </si>
  <si>
    <t>Tisna</t>
  </si>
  <si>
    <t>Tisyana</t>
  </si>
  <si>
    <t>Yantih</t>
  </si>
  <si>
    <t>Iros</t>
  </si>
  <si>
    <t>Sari Martanti Muhamidah</t>
  </si>
  <si>
    <t>Anggiat Maruli Nababan (PIC Bus 2) 082213162910</t>
  </si>
  <si>
    <t>Dappa Frans Valeron Sinuraya (PIC Bus 3) 088210210790</t>
  </si>
  <si>
    <t>Sutisna (PIC Bus 4) 089655420509</t>
  </si>
  <si>
    <t>Agus Purwanto (PIC Bus 5) 081282619123</t>
  </si>
  <si>
    <t>Gerits Ardy Nunumete (PIC Bus 1) 081348898261</t>
  </si>
  <si>
    <t>Yustinus Rido Willasmoro (PIC Bus 6) 081223552398</t>
  </si>
  <si>
    <t>Tommy Bregin Milala (PIC Bus 7) 081283153284</t>
  </si>
  <si>
    <t>Robertus Kabe (PIC Bus 8) 088808955038</t>
  </si>
  <si>
    <t>Hari Prasetyo Kusuma Dharma (PIC) 087775401222</t>
  </si>
  <si>
    <t>Wahyu Anasrullah (PIC Bus) 085929976435</t>
  </si>
  <si>
    <t>Ady Aprianus Pedjaga ( Ikut Safari tour saja )</t>
  </si>
  <si>
    <t>Victor Junaedi ( Ikut Safari tour saja )</t>
  </si>
  <si>
    <t>Martin Bagas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</si>
</sst>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</font>
    <font>
      <b/>
      <sz val="11"/>
      <color theme="1"/>
      <name val="Calibri"/>
      <family val="2"/>
      <scheme val="minor"/>
    </font>
    <font>
      <i/>
      <sz val="12"/>
      <name val="Calibri"/>
      <family val="2"/>
    </font>
    <font>
      <i/>
      <sz val="12"/>
      <color rgb="FFFF0000"/>
      <name val="Calibri"/>
      <family val="2"/>
    </font>
    <font>
      <b/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7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7" fontId="3" fillId="2" borderId="1" xfId="0" applyNumberFormat="1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0" fontId="4" fillId="2" borderId="1" xfId="0" applyFont="1" applyFill="1" applyBorder="1" applyAlignment="1"/>
    <xf numFmtId="0" fontId="4" fillId="14" borderId="1" xfId="0" applyFont="1" applyFill="1" applyBorder="1" applyAlignment="1"/>
    <xf numFmtId="0" fontId="4" fillId="0" borderId="1" xfId="0" applyFont="1" applyBorder="1" applyAlignment="1"/>
    <xf numFmtId="0" fontId="4" fillId="0" borderId="1" xfId="1" applyFont="1" applyBorder="1" applyAlignment="1"/>
    <xf numFmtId="0" fontId="4" fillId="0" borderId="1" xfId="0" applyFont="1" applyFill="1" applyBorder="1" applyAlignment="1"/>
    <xf numFmtId="0" fontId="9" fillId="0" borderId="1" xfId="0" applyFont="1" applyBorder="1" applyAlignment="1"/>
    <xf numFmtId="0" fontId="4" fillId="2" borderId="2" xfId="0" applyFont="1" applyFill="1" applyBorder="1" applyAlignment="1">
      <alignment horizontal="left"/>
    </xf>
    <xf numFmtId="0" fontId="4" fillId="0" borderId="2" xfId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2" fillId="2" borderId="1" xfId="1" applyFont="1" applyFill="1" applyBorder="1" applyAlignment="1"/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zoomScale="90" zoomScaleNormal="90" workbookViewId="0">
      <selection sqref="A1:C26"/>
    </sheetView>
  </sheetViews>
  <sheetFormatPr defaultRowHeight="20.100000000000001" customHeight="1" x14ac:dyDescent="0.25"/>
  <cols>
    <col min="1" max="1" width="9.140625" style="1"/>
    <col min="2" max="2" width="48.140625" style="16" customWidth="1"/>
    <col min="3" max="3" width="9.140625" style="1"/>
    <col min="6" max="6" width="53.28515625" style="16" customWidth="1"/>
    <col min="10" max="10" width="57" style="16" customWidth="1"/>
  </cols>
  <sheetData>
    <row r="1" spans="1:11" ht="20.100000000000001" customHeight="1" x14ac:dyDescent="0.25">
      <c r="A1" s="66" t="s">
        <v>6</v>
      </c>
      <c r="B1" s="66"/>
      <c r="C1" s="66"/>
      <c r="E1" s="67" t="s">
        <v>7</v>
      </c>
      <c r="F1" s="67"/>
      <c r="G1" s="67"/>
      <c r="I1" s="68" t="s">
        <v>8</v>
      </c>
      <c r="J1" s="68"/>
      <c r="K1" s="68"/>
    </row>
    <row r="2" spans="1:11" ht="20.100000000000001" customHeight="1" x14ac:dyDescent="0.25">
      <c r="A2" s="66"/>
      <c r="B2" s="66"/>
      <c r="C2" s="66"/>
      <c r="E2" s="67"/>
      <c r="F2" s="67"/>
      <c r="G2" s="67"/>
      <c r="I2" s="68"/>
      <c r="J2" s="68"/>
      <c r="K2" s="68"/>
    </row>
    <row r="3" spans="1:11" ht="20.100000000000001" customHeight="1" x14ac:dyDescent="0.25">
      <c r="E3" s="1"/>
      <c r="G3" s="1"/>
      <c r="I3" s="1"/>
      <c r="K3" s="1"/>
    </row>
    <row r="4" spans="1:11" ht="20.100000000000001" customHeight="1" x14ac:dyDescent="0.25">
      <c r="A4" s="2" t="s">
        <v>2</v>
      </c>
      <c r="B4" s="2" t="s">
        <v>0</v>
      </c>
      <c r="C4" s="2" t="s">
        <v>1</v>
      </c>
      <c r="E4" s="2" t="s">
        <v>2</v>
      </c>
      <c r="F4" s="2" t="s">
        <v>0</v>
      </c>
      <c r="G4" s="2" t="s">
        <v>1</v>
      </c>
      <c r="I4" s="2" t="s">
        <v>2</v>
      </c>
      <c r="J4" s="2" t="s">
        <v>0</v>
      </c>
      <c r="K4" s="2" t="s">
        <v>1</v>
      </c>
    </row>
    <row r="5" spans="1:11" ht="20.100000000000001" customHeight="1" x14ac:dyDescent="0.25">
      <c r="A5" s="5">
        <v>1</v>
      </c>
      <c r="B5" s="37" t="s">
        <v>267</v>
      </c>
      <c r="C5" s="9">
        <v>1</v>
      </c>
      <c r="E5" s="2">
        <v>1</v>
      </c>
      <c r="F5" s="29" t="s">
        <v>263</v>
      </c>
      <c r="G5" s="3">
        <v>4</v>
      </c>
      <c r="I5" s="2">
        <v>1</v>
      </c>
      <c r="J5" s="29" t="s">
        <v>264</v>
      </c>
      <c r="K5" s="12">
        <v>1</v>
      </c>
    </row>
    <row r="6" spans="1:11" ht="20.100000000000001" customHeight="1" x14ac:dyDescent="0.25">
      <c r="A6" s="5">
        <f>A5+1</f>
        <v>2</v>
      </c>
      <c r="B6" s="38" t="s">
        <v>13</v>
      </c>
      <c r="C6" s="5">
        <v>4</v>
      </c>
      <c r="E6" s="2">
        <f t="shared" ref="E6:E26" si="0">E5+1</f>
        <v>2</v>
      </c>
      <c r="F6" s="40" t="s">
        <v>60</v>
      </c>
      <c r="G6" s="10">
        <v>1</v>
      </c>
      <c r="I6" s="2">
        <f>I5+1</f>
        <v>2</v>
      </c>
      <c r="J6" s="31" t="s">
        <v>64</v>
      </c>
      <c r="K6" s="10">
        <v>3</v>
      </c>
    </row>
    <row r="7" spans="1:11" ht="20.100000000000001" customHeight="1" x14ac:dyDescent="0.25">
      <c r="A7" s="5">
        <f t="shared" ref="A7:A18" si="1">A6+1</f>
        <v>3</v>
      </c>
      <c r="B7" s="38" t="s">
        <v>21</v>
      </c>
      <c r="C7" s="4">
        <v>3</v>
      </c>
      <c r="E7" s="2">
        <f t="shared" si="0"/>
        <v>3</v>
      </c>
      <c r="F7" s="40" t="s">
        <v>35</v>
      </c>
      <c r="G7" s="10">
        <v>1</v>
      </c>
      <c r="I7" s="2">
        <f t="shared" ref="I7:I29" si="2">I6+1</f>
        <v>3</v>
      </c>
      <c r="J7" s="40" t="s">
        <v>37</v>
      </c>
      <c r="K7" s="10">
        <v>3</v>
      </c>
    </row>
    <row r="8" spans="1:11" ht="20.100000000000001" customHeight="1" x14ac:dyDescent="0.25">
      <c r="A8" s="5">
        <f t="shared" si="1"/>
        <v>4</v>
      </c>
      <c r="B8" s="38" t="s">
        <v>10</v>
      </c>
      <c r="C8" s="5">
        <v>1</v>
      </c>
      <c r="E8" s="2">
        <f t="shared" si="0"/>
        <v>4</v>
      </c>
      <c r="F8" s="41" t="s">
        <v>28</v>
      </c>
      <c r="G8" s="2">
        <v>1</v>
      </c>
      <c r="I8" s="2">
        <f t="shared" si="2"/>
        <v>4</v>
      </c>
      <c r="J8" s="31" t="s">
        <v>58</v>
      </c>
      <c r="K8" s="10">
        <v>2</v>
      </c>
    </row>
    <row r="9" spans="1:11" ht="20.100000000000001" customHeight="1" x14ac:dyDescent="0.25">
      <c r="A9" s="5">
        <f t="shared" si="1"/>
        <v>5</v>
      </c>
      <c r="B9" s="38" t="s">
        <v>25</v>
      </c>
      <c r="C9" s="4">
        <v>4</v>
      </c>
      <c r="E9" s="2">
        <f t="shared" si="0"/>
        <v>5</v>
      </c>
      <c r="F9" s="40" t="s">
        <v>43</v>
      </c>
      <c r="G9" s="10">
        <v>3</v>
      </c>
      <c r="I9" s="2">
        <f t="shared" si="2"/>
        <v>5</v>
      </c>
      <c r="J9" s="27" t="s">
        <v>75</v>
      </c>
      <c r="K9" s="10">
        <v>1</v>
      </c>
    </row>
    <row r="10" spans="1:11" ht="20.100000000000001" customHeight="1" x14ac:dyDescent="0.25">
      <c r="A10" s="5">
        <f t="shared" si="1"/>
        <v>6</v>
      </c>
      <c r="B10" s="39" t="s">
        <v>16</v>
      </c>
      <c r="C10" s="4">
        <v>3</v>
      </c>
      <c r="E10" s="2">
        <f t="shared" si="0"/>
        <v>6</v>
      </c>
      <c r="F10" s="43" t="s">
        <v>30</v>
      </c>
      <c r="G10" s="4">
        <v>1</v>
      </c>
      <c r="I10" s="2">
        <f t="shared" si="2"/>
        <v>6</v>
      </c>
      <c r="J10" s="31" t="s">
        <v>68</v>
      </c>
      <c r="K10" s="10">
        <v>4</v>
      </c>
    </row>
    <row r="11" spans="1:11" ht="20.100000000000001" customHeight="1" x14ac:dyDescent="0.25">
      <c r="A11" s="5">
        <f t="shared" si="1"/>
        <v>7</v>
      </c>
      <c r="B11" s="38" t="s">
        <v>9</v>
      </c>
      <c r="C11" s="10">
        <v>3</v>
      </c>
      <c r="E11" s="2">
        <f t="shared" si="0"/>
        <v>7</v>
      </c>
      <c r="F11" s="31" t="s">
        <v>39</v>
      </c>
      <c r="G11" s="10">
        <v>1</v>
      </c>
      <c r="I11" s="2">
        <f t="shared" si="2"/>
        <v>7</v>
      </c>
      <c r="J11" s="27" t="s">
        <v>78</v>
      </c>
      <c r="K11" s="10">
        <v>2</v>
      </c>
    </row>
    <row r="12" spans="1:11" ht="20.100000000000001" customHeight="1" x14ac:dyDescent="0.25">
      <c r="A12" s="5">
        <f t="shared" si="1"/>
        <v>8</v>
      </c>
      <c r="B12" s="40" t="s">
        <v>33</v>
      </c>
      <c r="C12" s="11">
        <v>1</v>
      </c>
      <c r="E12" s="2">
        <f t="shared" si="0"/>
        <v>8</v>
      </c>
      <c r="F12" s="42" t="s">
        <v>41</v>
      </c>
      <c r="G12" s="2">
        <v>1</v>
      </c>
      <c r="I12" s="2">
        <f t="shared" si="2"/>
        <v>8</v>
      </c>
      <c r="J12" s="27" t="s">
        <v>80</v>
      </c>
      <c r="K12" s="10">
        <v>2</v>
      </c>
    </row>
    <row r="13" spans="1:11" ht="20.100000000000001" customHeight="1" x14ac:dyDescent="0.25">
      <c r="A13" s="5">
        <f t="shared" si="1"/>
        <v>9</v>
      </c>
      <c r="B13" s="38" t="s">
        <v>14</v>
      </c>
      <c r="C13" s="5">
        <v>3</v>
      </c>
      <c r="E13" s="2">
        <f t="shared" si="0"/>
        <v>9</v>
      </c>
      <c r="F13" s="42" t="s">
        <v>40</v>
      </c>
      <c r="G13" s="2">
        <v>1</v>
      </c>
      <c r="I13" s="2">
        <f t="shared" si="2"/>
        <v>9</v>
      </c>
      <c r="J13" s="31" t="s">
        <v>63</v>
      </c>
      <c r="K13" s="10">
        <v>1</v>
      </c>
    </row>
    <row r="14" spans="1:11" ht="20.100000000000001" customHeight="1" x14ac:dyDescent="0.25">
      <c r="A14" s="5">
        <f t="shared" si="1"/>
        <v>10</v>
      </c>
      <c r="B14" s="38" t="s">
        <v>20</v>
      </c>
      <c r="C14" s="5">
        <v>4</v>
      </c>
      <c r="E14" s="2">
        <f t="shared" si="0"/>
        <v>10</v>
      </c>
      <c r="F14" s="31" t="s">
        <v>47</v>
      </c>
      <c r="G14" s="10">
        <v>1</v>
      </c>
      <c r="I14" s="2">
        <f t="shared" si="2"/>
        <v>10</v>
      </c>
      <c r="J14" s="27" t="s">
        <v>76</v>
      </c>
      <c r="K14" s="10">
        <v>2</v>
      </c>
    </row>
    <row r="15" spans="1:11" ht="20.100000000000001" customHeight="1" x14ac:dyDescent="0.25">
      <c r="A15" s="5">
        <f t="shared" si="1"/>
        <v>11</v>
      </c>
      <c r="B15" s="38" t="s">
        <v>42</v>
      </c>
      <c r="C15" s="4">
        <v>1</v>
      </c>
      <c r="E15" s="2">
        <f t="shared" si="0"/>
        <v>11</v>
      </c>
      <c r="F15" s="31" t="s">
        <v>46</v>
      </c>
      <c r="G15" s="10">
        <v>1</v>
      </c>
      <c r="I15" s="2">
        <f t="shared" si="2"/>
        <v>11</v>
      </c>
      <c r="J15" s="42" t="s">
        <v>56</v>
      </c>
      <c r="K15" s="4">
        <v>2</v>
      </c>
    </row>
    <row r="16" spans="1:11" ht="20.100000000000001" customHeight="1" x14ac:dyDescent="0.25">
      <c r="A16" s="5">
        <f t="shared" si="1"/>
        <v>12</v>
      </c>
      <c r="B16" s="38" t="s">
        <v>12</v>
      </c>
      <c r="C16" s="4">
        <v>3</v>
      </c>
      <c r="E16" s="2">
        <f t="shared" si="0"/>
        <v>12</v>
      </c>
      <c r="F16" s="42" t="s">
        <v>49</v>
      </c>
      <c r="G16" s="4">
        <v>4</v>
      </c>
      <c r="I16" s="2">
        <f t="shared" si="2"/>
        <v>12</v>
      </c>
      <c r="J16" s="27" t="s">
        <v>77</v>
      </c>
      <c r="K16" s="10">
        <v>1</v>
      </c>
    </row>
    <row r="17" spans="1:11" ht="20.100000000000001" customHeight="1" x14ac:dyDescent="0.25">
      <c r="A17" s="5">
        <f t="shared" si="1"/>
        <v>13</v>
      </c>
      <c r="B17" s="38" t="s">
        <v>240</v>
      </c>
      <c r="C17" s="5">
        <v>4</v>
      </c>
      <c r="E17" s="2">
        <f t="shared" si="0"/>
        <v>13</v>
      </c>
      <c r="F17" s="38" t="s">
        <v>31</v>
      </c>
      <c r="G17" s="5">
        <v>3</v>
      </c>
      <c r="I17" s="2">
        <f t="shared" si="2"/>
        <v>13</v>
      </c>
      <c r="J17" s="27" t="s">
        <v>74</v>
      </c>
      <c r="K17" s="10">
        <v>2</v>
      </c>
    </row>
    <row r="18" spans="1:11" ht="20.100000000000001" customHeight="1" x14ac:dyDescent="0.25">
      <c r="A18" s="5">
        <f t="shared" si="1"/>
        <v>14</v>
      </c>
      <c r="B18" s="38" t="s">
        <v>19</v>
      </c>
      <c r="C18" s="2">
        <v>2</v>
      </c>
      <c r="E18" s="2">
        <f t="shared" si="0"/>
        <v>14</v>
      </c>
      <c r="F18" s="40" t="s">
        <v>26</v>
      </c>
      <c r="G18" s="10">
        <v>1</v>
      </c>
      <c r="I18" s="2">
        <f t="shared" si="2"/>
        <v>14</v>
      </c>
      <c r="J18" s="27" t="s">
        <v>79</v>
      </c>
      <c r="K18" s="10">
        <v>1</v>
      </c>
    </row>
    <row r="19" spans="1:11" ht="20.100000000000001" customHeight="1" x14ac:dyDescent="0.25">
      <c r="A19" s="2">
        <f t="shared" ref="A7:A25" si="3">A18+1</f>
        <v>15</v>
      </c>
      <c r="B19" s="41" t="s">
        <v>27</v>
      </c>
      <c r="C19" s="5">
        <v>4</v>
      </c>
      <c r="E19" s="2">
        <f t="shared" si="0"/>
        <v>15</v>
      </c>
      <c r="F19" s="27" t="s">
        <v>51</v>
      </c>
      <c r="G19" s="10">
        <v>3</v>
      </c>
      <c r="I19" s="2">
        <f t="shared" si="2"/>
        <v>15</v>
      </c>
      <c r="J19" s="31" t="s">
        <v>61</v>
      </c>
      <c r="K19" s="10">
        <v>4</v>
      </c>
    </row>
    <row r="20" spans="1:11" ht="20.100000000000001" customHeight="1" x14ac:dyDescent="0.25">
      <c r="A20" s="2">
        <f t="shared" si="3"/>
        <v>16</v>
      </c>
      <c r="B20" s="38" t="s">
        <v>18</v>
      </c>
      <c r="C20" s="5">
        <v>4</v>
      </c>
      <c r="E20" s="2">
        <f t="shared" si="0"/>
        <v>16</v>
      </c>
      <c r="F20" s="31" t="s">
        <v>52</v>
      </c>
      <c r="G20" s="10">
        <v>1</v>
      </c>
      <c r="I20" s="2">
        <f t="shared" si="2"/>
        <v>16</v>
      </c>
      <c r="J20" s="31" t="s">
        <v>73</v>
      </c>
      <c r="K20" s="10">
        <v>3</v>
      </c>
    </row>
    <row r="21" spans="1:11" ht="20.100000000000001" customHeight="1" x14ac:dyDescent="0.25">
      <c r="A21" s="2">
        <f t="shared" si="3"/>
        <v>17</v>
      </c>
      <c r="B21" s="42" t="s">
        <v>23</v>
      </c>
      <c r="C21" s="4">
        <v>5</v>
      </c>
      <c r="E21" s="2">
        <f t="shared" si="0"/>
        <v>17</v>
      </c>
      <c r="F21" s="44" t="s">
        <v>135</v>
      </c>
      <c r="G21" s="2">
        <v>2</v>
      </c>
      <c r="I21" s="2">
        <f t="shared" si="2"/>
        <v>17</v>
      </c>
      <c r="J21" s="31" t="s">
        <v>55</v>
      </c>
      <c r="K21" s="5">
        <v>3</v>
      </c>
    </row>
    <row r="22" spans="1:11" ht="20.100000000000001" customHeight="1" x14ac:dyDescent="0.25">
      <c r="A22" s="2">
        <f t="shared" si="3"/>
        <v>18</v>
      </c>
      <c r="B22" s="38" t="s">
        <v>15</v>
      </c>
      <c r="C22" s="4">
        <v>2</v>
      </c>
      <c r="E22" s="2">
        <f t="shared" si="0"/>
        <v>18</v>
      </c>
      <c r="F22" s="31" t="s">
        <v>275</v>
      </c>
      <c r="G22" s="10">
        <v>1</v>
      </c>
      <c r="I22" s="2">
        <f t="shared" si="2"/>
        <v>18</v>
      </c>
      <c r="J22" s="31" t="s">
        <v>62</v>
      </c>
      <c r="K22" s="10">
        <v>4</v>
      </c>
    </row>
    <row r="23" spans="1:11" ht="20.100000000000001" customHeight="1" x14ac:dyDescent="0.25">
      <c r="A23" s="2">
        <f t="shared" si="3"/>
        <v>19</v>
      </c>
      <c r="B23" s="38" t="s">
        <v>17</v>
      </c>
      <c r="C23" s="4">
        <v>3</v>
      </c>
      <c r="E23" s="2">
        <f t="shared" si="0"/>
        <v>19</v>
      </c>
      <c r="F23" s="31" t="s">
        <v>45</v>
      </c>
      <c r="G23" s="2">
        <v>2</v>
      </c>
      <c r="I23" s="2">
        <f t="shared" si="2"/>
        <v>19</v>
      </c>
      <c r="J23" s="31" t="s">
        <v>66</v>
      </c>
      <c r="K23" s="10">
        <v>4</v>
      </c>
    </row>
    <row r="24" spans="1:11" ht="20.100000000000001" customHeight="1" x14ac:dyDescent="0.25">
      <c r="A24" s="2">
        <f t="shared" si="3"/>
        <v>20</v>
      </c>
      <c r="B24" s="42" t="s">
        <v>34</v>
      </c>
      <c r="C24" s="2">
        <v>1</v>
      </c>
      <c r="E24" s="2">
        <f t="shared" si="0"/>
        <v>20</v>
      </c>
      <c r="F24" s="31" t="s">
        <v>38</v>
      </c>
      <c r="G24" s="10">
        <v>4</v>
      </c>
      <c r="I24" s="2">
        <f t="shared" si="2"/>
        <v>20</v>
      </c>
      <c r="J24" s="31" t="s">
        <v>57</v>
      </c>
      <c r="K24" s="10">
        <v>3</v>
      </c>
    </row>
    <row r="25" spans="1:11" ht="20.100000000000001" customHeight="1" x14ac:dyDescent="0.25">
      <c r="A25" s="2">
        <f t="shared" si="3"/>
        <v>21</v>
      </c>
      <c r="B25" s="41" t="s">
        <v>29</v>
      </c>
      <c r="C25" s="2">
        <v>1</v>
      </c>
      <c r="E25" s="2">
        <f t="shared" si="0"/>
        <v>21</v>
      </c>
      <c r="F25" s="31" t="s">
        <v>87</v>
      </c>
      <c r="G25" s="10">
        <v>4</v>
      </c>
      <c r="I25" s="2">
        <f t="shared" si="2"/>
        <v>21</v>
      </c>
      <c r="J25" s="31" t="s">
        <v>69</v>
      </c>
      <c r="K25" s="10">
        <v>1</v>
      </c>
    </row>
    <row r="26" spans="1:11" ht="20.100000000000001" customHeight="1" x14ac:dyDescent="0.25">
      <c r="A26" s="2"/>
      <c r="B26" s="32" t="s">
        <v>22</v>
      </c>
      <c r="C26" s="7">
        <f>SUM(C5:C25)</f>
        <v>57</v>
      </c>
      <c r="E26" s="2">
        <f t="shared" si="0"/>
        <v>22</v>
      </c>
      <c r="F26" s="38" t="s">
        <v>48</v>
      </c>
      <c r="G26" s="4">
        <v>1</v>
      </c>
      <c r="I26" s="2">
        <f t="shared" si="2"/>
        <v>22</v>
      </c>
      <c r="J26" s="31" t="s">
        <v>70</v>
      </c>
      <c r="K26" s="10">
        <v>1</v>
      </c>
    </row>
    <row r="27" spans="1:11" ht="20.100000000000001" customHeight="1" x14ac:dyDescent="0.25">
      <c r="E27" s="2">
        <f t="shared" ref="E27:E31" si="4">E26+1</f>
        <v>23</v>
      </c>
      <c r="F27" s="38" t="s">
        <v>32</v>
      </c>
      <c r="G27" s="5">
        <v>4</v>
      </c>
      <c r="I27" s="2">
        <f t="shared" si="2"/>
        <v>23</v>
      </c>
      <c r="J27" s="31" t="s">
        <v>65</v>
      </c>
      <c r="K27" s="10">
        <v>2</v>
      </c>
    </row>
    <row r="28" spans="1:11" ht="20.100000000000001" customHeight="1" x14ac:dyDescent="0.25">
      <c r="E28" s="2">
        <f t="shared" si="4"/>
        <v>24</v>
      </c>
      <c r="F28" s="40" t="s">
        <v>44</v>
      </c>
      <c r="G28" s="10">
        <v>3</v>
      </c>
      <c r="I28" s="2">
        <f t="shared" si="2"/>
        <v>24</v>
      </c>
      <c r="J28" s="31" t="s">
        <v>71</v>
      </c>
      <c r="K28" s="10">
        <v>2</v>
      </c>
    </row>
    <row r="29" spans="1:11" ht="20.100000000000001" customHeight="1" x14ac:dyDescent="0.25">
      <c r="E29" s="2">
        <f t="shared" si="4"/>
        <v>25</v>
      </c>
      <c r="F29" s="42" t="s">
        <v>24</v>
      </c>
      <c r="G29" s="5">
        <v>1</v>
      </c>
      <c r="I29" s="2">
        <f t="shared" si="2"/>
        <v>25</v>
      </c>
      <c r="J29" s="31" t="s">
        <v>72</v>
      </c>
      <c r="K29" s="10">
        <v>4</v>
      </c>
    </row>
    <row r="30" spans="1:11" ht="20.100000000000001" customHeight="1" x14ac:dyDescent="0.25">
      <c r="E30" s="2">
        <f t="shared" si="4"/>
        <v>26</v>
      </c>
      <c r="F30" s="31" t="s">
        <v>53</v>
      </c>
      <c r="G30" s="10">
        <v>1</v>
      </c>
      <c r="I30" s="2"/>
      <c r="J30" s="32" t="s">
        <v>22</v>
      </c>
      <c r="K30" s="7">
        <f>SUM(K5:K29)</f>
        <v>58</v>
      </c>
    </row>
    <row r="31" spans="1:11" ht="20.100000000000001" customHeight="1" x14ac:dyDescent="0.25">
      <c r="E31" s="2">
        <f t="shared" si="4"/>
        <v>27</v>
      </c>
      <c r="F31" s="31" t="s">
        <v>50</v>
      </c>
      <c r="G31" s="10">
        <v>4</v>
      </c>
      <c r="I31" s="6"/>
      <c r="J31" s="45"/>
      <c r="K31" s="13"/>
    </row>
    <row r="32" spans="1:11" ht="20.100000000000001" customHeight="1" x14ac:dyDescent="0.25">
      <c r="E32" s="8"/>
      <c r="F32" s="32" t="s">
        <v>22</v>
      </c>
      <c r="G32" s="7">
        <f>SUM(G5:G31)</f>
        <v>55</v>
      </c>
      <c r="I32" s="6"/>
      <c r="J32" s="45"/>
      <c r="K32" s="13"/>
    </row>
    <row r="33" spans="9:11" ht="20.100000000000001" customHeight="1" x14ac:dyDescent="0.25">
      <c r="I33" s="6"/>
      <c r="J33" s="45"/>
      <c r="K33" s="13"/>
    </row>
    <row r="34" spans="9:11" ht="20.100000000000001" customHeight="1" x14ac:dyDescent="0.25">
      <c r="I34" s="6"/>
      <c r="J34" s="46"/>
      <c r="K34" s="6"/>
    </row>
  </sheetData>
  <sortState ref="F6:G31">
    <sortCondition ref="F6:F31"/>
  </sortState>
  <mergeCells count="3">
    <mergeCell ref="A1:C2"/>
    <mergeCell ref="E1:G2"/>
    <mergeCell ref="I1:K2"/>
  </mergeCells>
  <pageMargins left="1.3779527559055118" right="0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opLeftCell="D1" workbookViewId="0">
      <selection activeCell="F13" sqref="F13"/>
    </sheetView>
  </sheetViews>
  <sheetFormatPr defaultRowHeight="20.100000000000001" customHeight="1" x14ac:dyDescent="0.25"/>
  <cols>
    <col min="2" max="2" width="41.7109375" style="16" customWidth="1"/>
    <col min="6" max="6" width="46.5703125" style="16" customWidth="1"/>
    <col min="10" max="10" width="51.85546875" style="16" customWidth="1"/>
  </cols>
  <sheetData>
    <row r="1" spans="1:14" ht="20.100000000000001" customHeight="1" x14ac:dyDescent="0.25">
      <c r="A1" s="69" t="s">
        <v>3</v>
      </c>
      <c r="B1" s="69"/>
      <c r="C1" s="69"/>
      <c r="E1" s="70" t="s">
        <v>4</v>
      </c>
      <c r="F1" s="70"/>
      <c r="G1" s="70"/>
      <c r="I1" s="71" t="s">
        <v>5</v>
      </c>
      <c r="J1" s="71"/>
      <c r="K1" s="71"/>
    </row>
    <row r="2" spans="1:14" ht="20.100000000000001" customHeight="1" x14ac:dyDescent="0.25">
      <c r="A2" s="69"/>
      <c r="B2" s="69"/>
      <c r="C2" s="69"/>
      <c r="E2" s="70"/>
      <c r="F2" s="70"/>
      <c r="G2" s="70"/>
      <c r="I2" s="71"/>
      <c r="J2" s="71"/>
      <c r="K2" s="71"/>
    </row>
    <row r="3" spans="1:14" ht="20.100000000000001" customHeight="1" x14ac:dyDescent="0.25">
      <c r="A3" s="1"/>
      <c r="C3" s="1"/>
      <c r="E3" s="1"/>
      <c r="G3" s="1"/>
      <c r="I3" s="1"/>
      <c r="K3" s="1"/>
    </row>
    <row r="4" spans="1:14" ht="20.100000000000001" customHeight="1" x14ac:dyDescent="0.25">
      <c r="A4" s="2" t="s">
        <v>2</v>
      </c>
      <c r="B4" s="2" t="s">
        <v>0</v>
      </c>
      <c r="C4" s="2" t="s">
        <v>1</v>
      </c>
      <c r="E4" s="2" t="s">
        <v>2</v>
      </c>
      <c r="F4" s="2" t="s">
        <v>0</v>
      </c>
      <c r="G4" s="2" t="s">
        <v>1</v>
      </c>
      <c r="I4" s="2" t="s">
        <v>2</v>
      </c>
      <c r="J4" s="2" t="s">
        <v>0</v>
      </c>
      <c r="K4" s="2" t="s">
        <v>1</v>
      </c>
    </row>
    <row r="5" spans="1:14" ht="20.100000000000001" customHeight="1" x14ac:dyDescent="0.25">
      <c r="A5" s="2">
        <v>1</v>
      </c>
      <c r="B5" s="33" t="s">
        <v>265</v>
      </c>
      <c r="C5" s="3">
        <v>4</v>
      </c>
      <c r="E5" s="2">
        <v>1</v>
      </c>
      <c r="F5" s="33" t="s">
        <v>266</v>
      </c>
      <c r="G5" s="3">
        <v>4</v>
      </c>
      <c r="I5" s="2">
        <v>1</v>
      </c>
      <c r="J5" s="29" t="s">
        <v>268</v>
      </c>
      <c r="K5" s="3">
        <v>2</v>
      </c>
    </row>
    <row r="6" spans="1:14" ht="20.100000000000001" customHeight="1" x14ac:dyDescent="0.25">
      <c r="A6" s="2">
        <f>A5+1</f>
        <v>2</v>
      </c>
      <c r="B6" s="30" t="s">
        <v>93</v>
      </c>
      <c r="C6" s="10">
        <v>1</v>
      </c>
      <c r="E6" s="2">
        <f>E5+1</f>
        <v>2</v>
      </c>
      <c r="F6" s="31" t="s">
        <v>100</v>
      </c>
      <c r="G6" s="10">
        <v>1</v>
      </c>
      <c r="I6" s="2">
        <f t="shared" ref="I6:I23" si="0">I5+1</f>
        <v>2</v>
      </c>
      <c r="J6" s="27" t="s">
        <v>248</v>
      </c>
      <c r="K6" s="10">
        <v>2</v>
      </c>
    </row>
    <row r="7" spans="1:14" ht="20.100000000000001" customHeight="1" x14ac:dyDescent="0.25">
      <c r="A7" s="2">
        <f t="shared" ref="A7:A29" si="1">A6+1</f>
        <v>3</v>
      </c>
      <c r="B7" s="31" t="s">
        <v>84</v>
      </c>
      <c r="C7" s="10">
        <v>2</v>
      </c>
      <c r="E7" s="2">
        <f t="shared" ref="E7:E33" si="2">E6+1</f>
        <v>3</v>
      </c>
      <c r="F7" s="27" t="s">
        <v>245</v>
      </c>
      <c r="G7" s="10">
        <v>2</v>
      </c>
      <c r="I7" s="2">
        <f t="shared" si="0"/>
        <v>3</v>
      </c>
      <c r="J7" s="28" t="s">
        <v>136</v>
      </c>
      <c r="K7" s="2">
        <v>1</v>
      </c>
    </row>
    <row r="8" spans="1:14" ht="20.100000000000001" customHeight="1" x14ac:dyDescent="0.25">
      <c r="A8" s="2">
        <f t="shared" si="1"/>
        <v>4</v>
      </c>
      <c r="B8" s="31" t="s">
        <v>97</v>
      </c>
      <c r="C8" s="10">
        <v>1</v>
      </c>
      <c r="E8" s="2">
        <f t="shared" si="2"/>
        <v>4</v>
      </c>
      <c r="F8" s="31" t="s">
        <v>101</v>
      </c>
      <c r="G8" s="10">
        <v>1</v>
      </c>
      <c r="I8" s="2">
        <f t="shared" si="0"/>
        <v>4</v>
      </c>
      <c r="J8" s="27" t="s">
        <v>249</v>
      </c>
      <c r="K8" s="10">
        <v>2</v>
      </c>
    </row>
    <row r="9" spans="1:14" ht="20.100000000000001" customHeight="1" x14ac:dyDescent="0.25">
      <c r="A9" s="2">
        <f t="shared" si="1"/>
        <v>5</v>
      </c>
      <c r="B9" s="31" t="s">
        <v>94</v>
      </c>
      <c r="C9" s="10">
        <v>1</v>
      </c>
      <c r="E9" s="2">
        <f t="shared" si="2"/>
        <v>5</v>
      </c>
      <c r="F9" s="31" t="s">
        <v>102</v>
      </c>
      <c r="G9" s="10">
        <v>2</v>
      </c>
      <c r="I9" s="2">
        <f t="shared" si="0"/>
        <v>5</v>
      </c>
      <c r="J9" s="27" t="s">
        <v>250</v>
      </c>
      <c r="K9" s="10">
        <v>2</v>
      </c>
    </row>
    <row r="10" spans="1:14" ht="20.100000000000001" customHeight="1" x14ac:dyDescent="0.25">
      <c r="A10" s="2">
        <f t="shared" si="1"/>
        <v>6</v>
      </c>
      <c r="B10" s="27" t="s">
        <v>244</v>
      </c>
      <c r="C10" s="10">
        <v>2</v>
      </c>
      <c r="E10" s="2">
        <f t="shared" si="2"/>
        <v>6</v>
      </c>
      <c r="F10" s="31" t="s">
        <v>103</v>
      </c>
      <c r="G10" s="10">
        <v>1</v>
      </c>
      <c r="I10" s="2">
        <f t="shared" si="0"/>
        <v>6</v>
      </c>
      <c r="J10" s="30" t="s">
        <v>67</v>
      </c>
      <c r="K10" s="10">
        <v>1</v>
      </c>
    </row>
    <row r="11" spans="1:14" ht="20.100000000000001" customHeight="1" x14ac:dyDescent="0.25">
      <c r="A11" s="2">
        <f t="shared" si="1"/>
        <v>7</v>
      </c>
      <c r="B11" s="31" t="s">
        <v>95</v>
      </c>
      <c r="C11" s="10">
        <v>2</v>
      </c>
      <c r="E11" s="2">
        <f t="shared" si="2"/>
        <v>7</v>
      </c>
      <c r="F11" s="31" t="s">
        <v>104</v>
      </c>
      <c r="G11" s="10">
        <v>1</v>
      </c>
      <c r="I11" s="2">
        <f t="shared" si="0"/>
        <v>7</v>
      </c>
      <c r="J11" s="27" t="s">
        <v>251</v>
      </c>
      <c r="K11" s="10">
        <v>1</v>
      </c>
    </row>
    <row r="12" spans="1:14" ht="20.100000000000001" customHeight="1" x14ac:dyDescent="0.25">
      <c r="A12" s="2">
        <f t="shared" si="1"/>
        <v>8</v>
      </c>
      <c r="B12" s="27" t="s">
        <v>243</v>
      </c>
      <c r="C12" s="10">
        <v>2</v>
      </c>
      <c r="E12" s="2">
        <f t="shared" si="2"/>
        <v>8</v>
      </c>
      <c r="F12" s="27" t="s">
        <v>246</v>
      </c>
      <c r="G12" s="10">
        <v>2</v>
      </c>
      <c r="I12" s="2">
        <f t="shared" si="0"/>
        <v>8</v>
      </c>
      <c r="J12" s="31" t="s">
        <v>124</v>
      </c>
      <c r="K12" s="10">
        <v>2</v>
      </c>
    </row>
    <row r="13" spans="1:14" ht="20.100000000000001" customHeight="1" x14ac:dyDescent="0.25">
      <c r="A13" s="2">
        <f t="shared" si="1"/>
        <v>9</v>
      </c>
      <c r="B13" s="30" t="s">
        <v>92</v>
      </c>
      <c r="C13" s="10">
        <v>1</v>
      </c>
      <c r="E13" s="2">
        <f t="shared" si="2"/>
        <v>9</v>
      </c>
      <c r="F13" s="31" t="s">
        <v>117</v>
      </c>
      <c r="G13" s="10">
        <v>3</v>
      </c>
      <c r="I13" s="2">
        <f t="shared" si="0"/>
        <v>9</v>
      </c>
      <c r="J13" s="31" t="s">
        <v>125</v>
      </c>
      <c r="K13" s="10">
        <v>3</v>
      </c>
    </row>
    <row r="14" spans="1:14" ht="20.100000000000001" customHeight="1" x14ac:dyDescent="0.25">
      <c r="A14" s="2">
        <f t="shared" si="1"/>
        <v>10</v>
      </c>
      <c r="B14" s="31" t="s">
        <v>90</v>
      </c>
      <c r="C14" s="10">
        <v>4</v>
      </c>
      <c r="E14" s="2">
        <f t="shared" si="2"/>
        <v>10</v>
      </c>
      <c r="F14" s="31" t="s">
        <v>118</v>
      </c>
      <c r="G14" s="10">
        <v>1</v>
      </c>
      <c r="I14" s="2">
        <f t="shared" si="0"/>
        <v>10</v>
      </c>
      <c r="J14" s="31" t="s">
        <v>126</v>
      </c>
      <c r="K14" s="10">
        <v>2</v>
      </c>
    </row>
    <row r="15" spans="1:14" ht="20.100000000000001" customHeight="1" x14ac:dyDescent="0.25">
      <c r="A15" s="2">
        <f t="shared" si="1"/>
        <v>11</v>
      </c>
      <c r="B15" s="31" t="s">
        <v>96</v>
      </c>
      <c r="C15" s="10">
        <v>1</v>
      </c>
      <c r="E15" s="2">
        <f t="shared" si="2"/>
        <v>11</v>
      </c>
      <c r="F15" s="30" t="s">
        <v>119</v>
      </c>
      <c r="G15" s="10">
        <v>1</v>
      </c>
      <c r="I15" s="2">
        <f t="shared" si="0"/>
        <v>11</v>
      </c>
      <c r="J15" s="31" t="s">
        <v>127</v>
      </c>
      <c r="K15" s="10">
        <v>1</v>
      </c>
    </row>
    <row r="16" spans="1:14" ht="20.100000000000001" customHeight="1" x14ac:dyDescent="0.25">
      <c r="A16" s="2">
        <f t="shared" si="1"/>
        <v>12</v>
      </c>
      <c r="B16" s="31" t="s">
        <v>88</v>
      </c>
      <c r="C16" s="10">
        <v>2</v>
      </c>
      <c r="E16" s="2">
        <f t="shared" si="2"/>
        <v>12</v>
      </c>
      <c r="F16" s="31" t="s">
        <v>120</v>
      </c>
      <c r="G16" s="10">
        <v>4</v>
      </c>
      <c r="I16" s="2">
        <f t="shared" si="0"/>
        <v>12</v>
      </c>
      <c r="J16" s="30" t="s">
        <v>128</v>
      </c>
      <c r="K16" s="10">
        <v>1</v>
      </c>
      <c r="L16" s="14"/>
      <c r="M16" s="14"/>
      <c r="N16" s="14"/>
    </row>
    <row r="17" spans="1:14" ht="20.100000000000001" customHeight="1" x14ac:dyDescent="0.25">
      <c r="A17" s="2">
        <f t="shared" si="1"/>
        <v>13</v>
      </c>
      <c r="B17" s="36" t="s">
        <v>59</v>
      </c>
      <c r="C17" s="10">
        <v>2</v>
      </c>
      <c r="E17" s="2">
        <f t="shared" si="2"/>
        <v>13</v>
      </c>
      <c r="F17" s="31" t="s">
        <v>121</v>
      </c>
      <c r="G17" s="10">
        <v>1</v>
      </c>
      <c r="I17" s="2">
        <f t="shared" si="0"/>
        <v>13</v>
      </c>
      <c r="J17" s="31" t="s">
        <v>129</v>
      </c>
      <c r="K17" s="10">
        <v>4</v>
      </c>
      <c r="L17" s="14"/>
      <c r="M17" s="14"/>
      <c r="N17" s="14"/>
    </row>
    <row r="18" spans="1:14" ht="20.100000000000001" customHeight="1" x14ac:dyDescent="0.25">
      <c r="A18" s="2">
        <f t="shared" si="1"/>
        <v>14</v>
      </c>
      <c r="B18" s="27" t="s">
        <v>54</v>
      </c>
      <c r="C18" s="10">
        <v>2</v>
      </c>
      <c r="E18" s="2">
        <f t="shared" si="2"/>
        <v>14</v>
      </c>
      <c r="F18" s="31" t="s">
        <v>122</v>
      </c>
      <c r="G18" s="10">
        <v>4</v>
      </c>
      <c r="I18" s="2">
        <f t="shared" si="0"/>
        <v>14</v>
      </c>
      <c r="J18" s="31" t="s">
        <v>130</v>
      </c>
      <c r="K18" s="10">
        <v>3</v>
      </c>
      <c r="L18" s="14"/>
      <c r="M18" s="14"/>
      <c r="N18" s="14"/>
    </row>
    <row r="19" spans="1:14" ht="20.100000000000001" customHeight="1" x14ac:dyDescent="0.25">
      <c r="A19" s="2">
        <f t="shared" si="1"/>
        <v>15</v>
      </c>
      <c r="B19" s="31" t="s">
        <v>83</v>
      </c>
      <c r="C19" s="10">
        <v>4</v>
      </c>
      <c r="E19" s="2">
        <f t="shared" si="2"/>
        <v>15</v>
      </c>
      <c r="F19" s="27" t="s">
        <v>247</v>
      </c>
      <c r="G19" s="10">
        <v>2</v>
      </c>
      <c r="I19" s="2">
        <f t="shared" si="0"/>
        <v>15</v>
      </c>
      <c r="J19" s="27" t="s">
        <v>261</v>
      </c>
      <c r="K19" s="10">
        <v>1</v>
      </c>
      <c r="L19" s="14"/>
      <c r="M19" s="14"/>
      <c r="N19" s="14"/>
    </row>
    <row r="20" spans="1:14" ht="20.100000000000001" customHeight="1" x14ac:dyDescent="0.25">
      <c r="A20" s="2">
        <f t="shared" si="1"/>
        <v>16</v>
      </c>
      <c r="B20" s="31" t="s">
        <v>82</v>
      </c>
      <c r="C20" s="10">
        <v>2</v>
      </c>
      <c r="E20" s="2">
        <f t="shared" si="2"/>
        <v>16</v>
      </c>
      <c r="F20" s="31" t="s">
        <v>123</v>
      </c>
      <c r="G20" s="10">
        <v>4</v>
      </c>
      <c r="I20" s="2">
        <f t="shared" si="0"/>
        <v>16</v>
      </c>
      <c r="J20" s="31" t="s">
        <v>131</v>
      </c>
      <c r="K20" s="10">
        <v>1</v>
      </c>
      <c r="L20" s="14"/>
      <c r="M20" s="14"/>
      <c r="N20" s="14"/>
    </row>
    <row r="21" spans="1:14" ht="20.100000000000001" customHeight="1" x14ac:dyDescent="0.25">
      <c r="A21" s="2">
        <f t="shared" si="1"/>
        <v>17</v>
      </c>
      <c r="B21" s="31" t="s">
        <v>36</v>
      </c>
      <c r="C21" s="10">
        <v>4</v>
      </c>
      <c r="E21" s="2">
        <f t="shared" si="2"/>
        <v>17</v>
      </c>
      <c r="F21" s="30" t="s">
        <v>108</v>
      </c>
      <c r="G21" s="10">
        <v>1</v>
      </c>
      <c r="I21" s="2">
        <f t="shared" si="0"/>
        <v>17</v>
      </c>
      <c r="J21" s="27" t="s">
        <v>252</v>
      </c>
      <c r="K21" s="10">
        <v>1</v>
      </c>
      <c r="L21" s="14"/>
      <c r="M21" s="14"/>
      <c r="N21" s="14"/>
    </row>
    <row r="22" spans="1:14" ht="20.100000000000001" customHeight="1" x14ac:dyDescent="0.25">
      <c r="A22" s="2">
        <f t="shared" si="1"/>
        <v>18</v>
      </c>
      <c r="B22" s="31" t="s">
        <v>85</v>
      </c>
      <c r="C22" s="10">
        <v>4</v>
      </c>
      <c r="E22" s="2">
        <f>E21+1</f>
        <v>18</v>
      </c>
      <c r="F22" s="30" t="s">
        <v>109</v>
      </c>
      <c r="G22" s="10">
        <v>3</v>
      </c>
      <c r="I22" s="2">
        <f t="shared" si="0"/>
        <v>18</v>
      </c>
      <c r="J22" s="30" t="s">
        <v>132</v>
      </c>
      <c r="K22" s="10">
        <v>4</v>
      </c>
      <c r="L22" s="14"/>
      <c r="M22" s="14"/>
      <c r="N22" s="14"/>
    </row>
    <row r="23" spans="1:14" ht="20.100000000000001" customHeight="1" x14ac:dyDescent="0.25">
      <c r="A23" s="2">
        <f t="shared" si="1"/>
        <v>19</v>
      </c>
      <c r="B23" s="27" t="s">
        <v>242</v>
      </c>
      <c r="C23" s="10">
        <v>2</v>
      </c>
      <c r="E23" s="2">
        <f t="shared" si="2"/>
        <v>19</v>
      </c>
      <c r="F23" s="31" t="s">
        <v>110</v>
      </c>
      <c r="G23" s="10">
        <v>1</v>
      </c>
      <c r="I23" s="2">
        <f t="shared" si="0"/>
        <v>19</v>
      </c>
      <c r="J23" s="31" t="s">
        <v>133</v>
      </c>
      <c r="K23" s="10">
        <v>4</v>
      </c>
    </row>
    <row r="24" spans="1:14" ht="20.100000000000001" customHeight="1" x14ac:dyDescent="0.25">
      <c r="A24" s="2">
        <f t="shared" si="1"/>
        <v>20</v>
      </c>
      <c r="B24" s="27" t="s">
        <v>241</v>
      </c>
      <c r="C24" s="10">
        <v>2</v>
      </c>
      <c r="E24" s="2">
        <f t="shared" si="2"/>
        <v>20</v>
      </c>
      <c r="F24" s="31" t="s">
        <v>111</v>
      </c>
      <c r="G24" s="10">
        <v>1</v>
      </c>
      <c r="I24" s="2">
        <f>A23+1</f>
        <v>20</v>
      </c>
      <c r="J24" s="63" t="s">
        <v>253</v>
      </c>
      <c r="K24" s="10">
        <v>1</v>
      </c>
    </row>
    <row r="25" spans="1:14" ht="20.100000000000001" customHeight="1" x14ac:dyDescent="0.25">
      <c r="A25" s="2">
        <f t="shared" si="1"/>
        <v>21</v>
      </c>
      <c r="B25" s="31" t="s">
        <v>99</v>
      </c>
      <c r="C25" s="10">
        <v>2</v>
      </c>
      <c r="E25" s="2">
        <f t="shared" si="2"/>
        <v>21</v>
      </c>
      <c r="F25" s="34" t="s">
        <v>262</v>
      </c>
      <c r="G25" s="10">
        <v>1</v>
      </c>
      <c r="I25" s="2">
        <f>Percetakan!E31+1</f>
        <v>28</v>
      </c>
      <c r="J25" s="27" t="s">
        <v>254</v>
      </c>
      <c r="K25" s="10">
        <v>2</v>
      </c>
    </row>
    <row r="26" spans="1:14" ht="20.100000000000001" customHeight="1" x14ac:dyDescent="0.25">
      <c r="A26" s="2">
        <f t="shared" si="1"/>
        <v>22</v>
      </c>
      <c r="B26" s="31" t="s">
        <v>86</v>
      </c>
      <c r="C26" s="10">
        <v>4</v>
      </c>
      <c r="E26" s="2">
        <f t="shared" si="2"/>
        <v>22</v>
      </c>
      <c r="F26" s="31" t="s">
        <v>112</v>
      </c>
      <c r="G26" s="10">
        <v>4</v>
      </c>
      <c r="I26" s="2">
        <f t="shared" ref="I26:I33" si="3">I25+1</f>
        <v>29</v>
      </c>
      <c r="J26" s="27" t="s">
        <v>255</v>
      </c>
      <c r="K26" s="10">
        <v>2</v>
      </c>
    </row>
    <row r="27" spans="1:14" ht="20.100000000000001" customHeight="1" x14ac:dyDescent="0.25">
      <c r="A27" s="2">
        <f t="shared" si="1"/>
        <v>23</v>
      </c>
      <c r="B27" s="31" t="s">
        <v>98</v>
      </c>
      <c r="C27" s="10">
        <v>2</v>
      </c>
      <c r="E27" s="2">
        <f t="shared" si="2"/>
        <v>23</v>
      </c>
      <c r="F27" s="31" t="s">
        <v>113</v>
      </c>
      <c r="G27" s="10">
        <v>2</v>
      </c>
      <c r="I27" s="2">
        <f t="shared" si="3"/>
        <v>30</v>
      </c>
      <c r="J27" s="27" t="s">
        <v>256</v>
      </c>
      <c r="K27" s="10">
        <v>1</v>
      </c>
    </row>
    <row r="28" spans="1:14" ht="20.100000000000001" customHeight="1" x14ac:dyDescent="0.25">
      <c r="A28" s="2">
        <f t="shared" si="1"/>
        <v>24</v>
      </c>
      <c r="B28" s="31" t="s">
        <v>81</v>
      </c>
      <c r="C28" s="10">
        <v>3</v>
      </c>
      <c r="E28" s="2">
        <f t="shared" si="2"/>
        <v>24</v>
      </c>
      <c r="F28" s="31" t="s">
        <v>114</v>
      </c>
      <c r="G28" s="10">
        <v>4</v>
      </c>
      <c r="I28" s="2">
        <f t="shared" si="3"/>
        <v>31</v>
      </c>
      <c r="J28" s="27" t="s">
        <v>257</v>
      </c>
      <c r="K28" s="10">
        <v>2</v>
      </c>
    </row>
    <row r="29" spans="1:14" ht="20.100000000000001" customHeight="1" x14ac:dyDescent="0.25">
      <c r="A29" s="2">
        <f t="shared" si="1"/>
        <v>25</v>
      </c>
      <c r="B29" s="31" t="s">
        <v>89</v>
      </c>
      <c r="C29" s="10">
        <v>2</v>
      </c>
      <c r="E29" s="2">
        <f t="shared" si="2"/>
        <v>25</v>
      </c>
      <c r="F29" s="31" t="s">
        <v>115</v>
      </c>
      <c r="G29" s="10">
        <v>3</v>
      </c>
      <c r="I29" s="2">
        <f t="shared" si="3"/>
        <v>32</v>
      </c>
      <c r="J29" s="27" t="s">
        <v>258</v>
      </c>
      <c r="K29" s="10">
        <v>2</v>
      </c>
    </row>
    <row r="30" spans="1:14" ht="20.100000000000001" customHeight="1" x14ac:dyDescent="0.25">
      <c r="A30" s="2"/>
      <c r="B30" s="32" t="s">
        <v>22</v>
      </c>
      <c r="C30" s="7">
        <f>SUM(C5:C29)</f>
        <v>58</v>
      </c>
      <c r="E30" s="2">
        <f t="shared" si="2"/>
        <v>26</v>
      </c>
      <c r="F30" s="31" t="s">
        <v>116</v>
      </c>
      <c r="G30" s="10">
        <v>1</v>
      </c>
      <c r="I30" s="2">
        <f t="shared" si="3"/>
        <v>33</v>
      </c>
      <c r="J30" s="27" t="s">
        <v>259</v>
      </c>
      <c r="K30" s="10">
        <v>1</v>
      </c>
    </row>
    <row r="31" spans="1:14" ht="20.100000000000001" customHeight="1" x14ac:dyDescent="0.25">
      <c r="E31" s="2">
        <f t="shared" si="2"/>
        <v>27</v>
      </c>
      <c r="F31" s="30" t="s">
        <v>105</v>
      </c>
      <c r="G31" s="10">
        <v>1</v>
      </c>
      <c r="I31" s="2">
        <f t="shared" si="3"/>
        <v>34</v>
      </c>
      <c r="J31" s="31" t="s">
        <v>107</v>
      </c>
      <c r="K31" s="10">
        <v>2</v>
      </c>
    </row>
    <row r="32" spans="1:14" ht="20.100000000000001" customHeight="1" x14ac:dyDescent="0.25">
      <c r="E32" s="2">
        <f t="shared" si="2"/>
        <v>28</v>
      </c>
      <c r="F32" s="30" t="s">
        <v>106</v>
      </c>
      <c r="G32" s="10">
        <v>1</v>
      </c>
      <c r="I32" s="2">
        <f t="shared" si="3"/>
        <v>35</v>
      </c>
      <c r="J32" s="27" t="s">
        <v>260</v>
      </c>
      <c r="K32" s="10">
        <v>2</v>
      </c>
    </row>
    <row r="33" spans="5:11" ht="20.100000000000001" customHeight="1" x14ac:dyDescent="0.25">
      <c r="E33" s="2">
        <f t="shared" si="2"/>
        <v>29</v>
      </c>
      <c r="F33" s="35" t="s">
        <v>91</v>
      </c>
      <c r="G33" s="10">
        <v>1</v>
      </c>
      <c r="I33" s="2">
        <f t="shared" si="3"/>
        <v>36</v>
      </c>
      <c r="J33" s="31" t="s">
        <v>134</v>
      </c>
      <c r="K33" s="10">
        <v>4</v>
      </c>
    </row>
    <row r="34" spans="5:11" ht="20.100000000000001" customHeight="1" x14ac:dyDescent="0.25">
      <c r="E34" s="8"/>
      <c r="F34" s="32" t="s">
        <v>22</v>
      </c>
      <c r="G34" s="7">
        <f>SUM(G5:G33)</f>
        <v>58</v>
      </c>
      <c r="I34" s="8"/>
      <c r="J34" s="32" t="s">
        <v>22</v>
      </c>
      <c r="K34" s="7">
        <f>SUM(K5:K33)</f>
        <v>57</v>
      </c>
    </row>
  </sheetData>
  <sortState ref="F6:G33">
    <sortCondition ref="F6:F33"/>
  </sortState>
  <mergeCells count="3">
    <mergeCell ref="A1:C2"/>
    <mergeCell ref="E1:G2"/>
    <mergeCell ref="I1:K2"/>
  </mergeCells>
  <pageMargins left="1.3779527559055118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0"/>
  <sheetViews>
    <sheetView tabSelected="1" workbookViewId="0">
      <selection activeCell="I2" sqref="I2:K40"/>
    </sheetView>
  </sheetViews>
  <sheetFormatPr defaultRowHeight="20.100000000000001" customHeight="1" x14ac:dyDescent="0.25"/>
  <cols>
    <col min="1" max="1" width="6.140625" style="1" customWidth="1"/>
    <col min="2" max="2" width="51.5703125" style="47" customWidth="1"/>
    <col min="3" max="3" width="7.5703125" style="1" customWidth="1"/>
    <col min="4" max="4" width="2.85546875" style="1" customWidth="1"/>
    <col min="5" max="5" width="7" style="1" customWidth="1"/>
    <col min="6" max="6" width="45.42578125" style="16" customWidth="1"/>
    <col min="7" max="7" width="7.5703125" customWidth="1"/>
    <col min="8" max="8" width="2.85546875" customWidth="1"/>
    <col min="9" max="9" width="6.28515625" style="1" customWidth="1"/>
    <col min="10" max="10" width="54.85546875" style="16" customWidth="1"/>
    <col min="11" max="11" width="7.28515625" style="1" customWidth="1"/>
    <col min="13" max="13" width="7.42578125" style="1" customWidth="1"/>
    <col min="14" max="14" width="27.7109375" style="16" customWidth="1"/>
    <col min="15" max="15" width="9.140625" customWidth="1"/>
  </cols>
  <sheetData>
    <row r="2" spans="1:15" ht="20.100000000000001" customHeight="1" x14ac:dyDescent="0.25">
      <c r="A2" s="72" t="s">
        <v>137</v>
      </c>
      <c r="B2" s="72"/>
      <c r="C2" s="72"/>
      <c r="D2" s="23"/>
      <c r="E2" s="73" t="s">
        <v>138</v>
      </c>
      <c r="F2" s="73"/>
      <c r="G2" s="73"/>
      <c r="I2" s="74" t="s">
        <v>180</v>
      </c>
      <c r="J2" s="74"/>
      <c r="K2" s="74"/>
      <c r="M2" s="75" t="s">
        <v>223</v>
      </c>
      <c r="N2" s="75"/>
      <c r="O2" s="75"/>
    </row>
    <row r="3" spans="1:15" ht="20.100000000000001" customHeight="1" x14ac:dyDescent="0.25">
      <c r="A3" s="72"/>
      <c r="B3" s="72"/>
      <c r="C3" s="72"/>
      <c r="D3" s="23"/>
      <c r="E3" s="73"/>
      <c r="F3" s="73"/>
      <c r="G3" s="73"/>
      <c r="I3" s="74"/>
      <c r="J3" s="74"/>
      <c r="K3" s="74"/>
      <c r="M3" s="75"/>
      <c r="N3" s="75"/>
      <c r="O3" s="75"/>
    </row>
    <row r="4" spans="1:15" ht="20.100000000000001" customHeight="1" x14ac:dyDescent="0.25">
      <c r="D4" s="24"/>
      <c r="G4" s="1"/>
      <c r="O4" s="1"/>
    </row>
    <row r="5" spans="1:15" ht="20.100000000000001" customHeight="1" x14ac:dyDescent="0.25">
      <c r="A5" s="2" t="s">
        <v>2</v>
      </c>
      <c r="B5" s="2" t="s">
        <v>0</v>
      </c>
      <c r="C5" s="2" t="s">
        <v>1</v>
      </c>
      <c r="D5" s="25"/>
      <c r="E5" s="2" t="s">
        <v>2</v>
      </c>
      <c r="F5" s="2" t="s">
        <v>0</v>
      </c>
      <c r="G5" s="2" t="s">
        <v>1</v>
      </c>
      <c r="I5" s="2" t="s">
        <v>2</v>
      </c>
      <c r="J5" s="2" t="s">
        <v>0</v>
      </c>
      <c r="K5" s="2" t="s">
        <v>1</v>
      </c>
      <c r="M5" s="2" t="s">
        <v>2</v>
      </c>
      <c r="N5" s="2" t="s">
        <v>0</v>
      </c>
      <c r="O5" s="2" t="s">
        <v>1</v>
      </c>
    </row>
    <row r="6" spans="1:15" ht="20.100000000000001" customHeight="1" x14ac:dyDescent="0.25">
      <c r="A6" s="2">
        <v>1</v>
      </c>
      <c r="B6" s="48" t="s">
        <v>269</v>
      </c>
      <c r="C6" s="15">
        <v>1</v>
      </c>
      <c r="D6" s="26"/>
      <c r="E6" s="2">
        <v>1</v>
      </c>
      <c r="F6" s="54" t="s">
        <v>270</v>
      </c>
      <c r="G6" s="9">
        <v>1</v>
      </c>
      <c r="I6" s="2">
        <v>1</v>
      </c>
      <c r="J6" s="57" t="s">
        <v>271</v>
      </c>
      <c r="K6" s="9">
        <v>1</v>
      </c>
      <c r="M6" s="2">
        <v>1</v>
      </c>
      <c r="N6" s="57" t="s">
        <v>222</v>
      </c>
      <c r="O6" s="5">
        <v>1</v>
      </c>
    </row>
    <row r="7" spans="1:15" ht="20.100000000000001" customHeight="1" x14ac:dyDescent="0.25">
      <c r="A7" s="2">
        <f>A6+1</f>
        <v>2</v>
      </c>
      <c r="B7" s="49" t="s">
        <v>157</v>
      </c>
      <c r="C7" s="11">
        <v>3</v>
      </c>
      <c r="D7" s="21"/>
      <c r="E7" s="2">
        <f>E6+1</f>
        <v>2</v>
      </c>
      <c r="F7" s="55" t="s">
        <v>160</v>
      </c>
      <c r="G7" s="2">
        <v>4</v>
      </c>
      <c r="I7" s="2">
        <f>I6+1</f>
        <v>2</v>
      </c>
      <c r="J7" s="38" t="s">
        <v>182</v>
      </c>
      <c r="K7" s="4">
        <v>5</v>
      </c>
      <c r="M7" s="2">
        <f>M6+1</f>
        <v>2</v>
      </c>
      <c r="N7" s="60" t="s">
        <v>205</v>
      </c>
      <c r="O7" s="11">
        <v>5</v>
      </c>
    </row>
    <row r="8" spans="1:15" ht="20.100000000000001" customHeight="1" x14ac:dyDescent="0.25">
      <c r="A8" s="2">
        <f t="shared" ref="A8:A32" si="0">A7+1</f>
        <v>3</v>
      </c>
      <c r="B8" s="50" t="s">
        <v>139</v>
      </c>
      <c r="C8" s="4">
        <v>3</v>
      </c>
      <c r="D8" s="19"/>
      <c r="E8" s="2">
        <f t="shared" ref="E8:E23" si="1">E7+1</f>
        <v>3</v>
      </c>
      <c r="F8" s="55" t="s">
        <v>166</v>
      </c>
      <c r="G8" s="2">
        <v>1</v>
      </c>
      <c r="I8" s="2">
        <f t="shared" ref="I8:I39" si="2">I7+1</f>
        <v>3</v>
      </c>
      <c r="J8" s="38" t="s">
        <v>213</v>
      </c>
      <c r="K8" s="5">
        <v>2</v>
      </c>
      <c r="M8" s="2">
        <f>M7+1</f>
        <v>3</v>
      </c>
      <c r="N8" s="60" t="s">
        <v>217</v>
      </c>
      <c r="O8" s="4">
        <v>1</v>
      </c>
    </row>
    <row r="9" spans="1:15" ht="20.100000000000001" customHeight="1" x14ac:dyDescent="0.25">
      <c r="A9" s="2">
        <f t="shared" si="0"/>
        <v>4</v>
      </c>
      <c r="B9" s="50" t="s">
        <v>151</v>
      </c>
      <c r="C9" s="4">
        <v>3</v>
      </c>
      <c r="D9" s="19"/>
      <c r="E9" s="2">
        <f t="shared" si="1"/>
        <v>4</v>
      </c>
      <c r="F9" s="55" t="s">
        <v>161</v>
      </c>
      <c r="G9" s="2">
        <v>4</v>
      </c>
      <c r="I9" s="2">
        <f t="shared" si="2"/>
        <v>4</v>
      </c>
      <c r="J9" s="38" t="s">
        <v>186</v>
      </c>
      <c r="K9" s="4">
        <v>1</v>
      </c>
      <c r="M9" s="2">
        <f t="shared" ref="M9:M13" si="3">M8+1</f>
        <v>4</v>
      </c>
      <c r="N9" s="61" t="s">
        <v>215</v>
      </c>
      <c r="O9" s="5">
        <v>3</v>
      </c>
    </row>
    <row r="10" spans="1:15" ht="20.100000000000001" customHeight="1" x14ac:dyDescent="0.25">
      <c r="A10" s="2">
        <f t="shared" si="0"/>
        <v>5</v>
      </c>
      <c r="B10" s="50" t="s">
        <v>146</v>
      </c>
      <c r="C10" s="5">
        <v>5</v>
      </c>
      <c r="D10" s="19"/>
      <c r="E10" s="2">
        <f t="shared" si="1"/>
        <v>5</v>
      </c>
      <c r="F10" s="55" t="s">
        <v>167</v>
      </c>
      <c r="G10" s="2">
        <v>1</v>
      </c>
      <c r="I10" s="2">
        <f t="shared" si="2"/>
        <v>5</v>
      </c>
      <c r="J10" s="38" t="s">
        <v>196</v>
      </c>
      <c r="K10" s="4">
        <v>1</v>
      </c>
      <c r="M10" s="2">
        <f t="shared" si="3"/>
        <v>5</v>
      </c>
      <c r="N10" s="60" t="s">
        <v>220</v>
      </c>
      <c r="O10" s="4">
        <v>1</v>
      </c>
    </row>
    <row r="11" spans="1:15" ht="20.100000000000001" customHeight="1" x14ac:dyDescent="0.25">
      <c r="A11" s="2">
        <f t="shared" si="0"/>
        <v>6</v>
      </c>
      <c r="B11" s="38" t="s">
        <v>11</v>
      </c>
      <c r="C11" s="5">
        <v>1</v>
      </c>
      <c r="D11" s="19"/>
      <c r="E11" s="2">
        <f t="shared" si="1"/>
        <v>6</v>
      </c>
      <c r="F11" s="55" t="s">
        <v>168</v>
      </c>
      <c r="G11" s="2">
        <v>3</v>
      </c>
      <c r="I11" s="2">
        <f t="shared" si="2"/>
        <v>6</v>
      </c>
      <c r="J11" s="38" t="s">
        <v>200</v>
      </c>
      <c r="K11" s="4">
        <v>1</v>
      </c>
      <c r="M11" s="2">
        <f t="shared" si="3"/>
        <v>6</v>
      </c>
      <c r="N11" s="60" t="s">
        <v>219</v>
      </c>
      <c r="O11" s="4">
        <v>1</v>
      </c>
    </row>
    <row r="12" spans="1:15" ht="20.100000000000001" customHeight="1" x14ac:dyDescent="0.25">
      <c r="A12" s="2">
        <f t="shared" si="0"/>
        <v>7</v>
      </c>
      <c r="B12" s="50" t="s">
        <v>142</v>
      </c>
      <c r="C12" s="4">
        <v>1</v>
      </c>
      <c r="D12" s="19"/>
      <c r="E12" s="2">
        <f t="shared" si="1"/>
        <v>7</v>
      </c>
      <c r="F12" s="55" t="s">
        <v>169</v>
      </c>
      <c r="G12" s="2">
        <v>1</v>
      </c>
      <c r="I12" s="2">
        <f t="shared" si="2"/>
        <v>7</v>
      </c>
      <c r="J12" s="38" t="s">
        <v>197</v>
      </c>
      <c r="K12" s="4">
        <v>1</v>
      </c>
      <c r="M12" s="2">
        <f t="shared" si="3"/>
        <v>7</v>
      </c>
      <c r="N12" s="60" t="s">
        <v>218</v>
      </c>
      <c r="O12" s="4">
        <v>1</v>
      </c>
    </row>
    <row r="13" spans="1:15" ht="20.100000000000001" customHeight="1" x14ac:dyDescent="0.25">
      <c r="A13" s="2">
        <f t="shared" si="0"/>
        <v>8</v>
      </c>
      <c r="B13" s="50" t="s">
        <v>148</v>
      </c>
      <c r="C13" s="5">
        <v>4</v>
      </c>
      <c r="D13" s="19"/>
      <c r="E13" s="2">
        <f t="shared" si="1"/>
        <v>8</v>
      </c>
      <c r="F13" s="55" t="s">
        <v>162</v>
      </c>
      <c r="G13" s="2">
        <v>1</v>
      </c>
      <c r="I13" s="2">
        <f t="shared" si="2"/>
        <v>8</v>
      </c>
      <c r="J13" s="38" t="s">
        <v>206</v>
      </c>
      <c r="K13" s="4">
        <v>1</v>
      </c>
      <c r="M13" s="2">
        <f t="shared" si="3"/>
        <v>8</v>
      </c>
      <c r="N13" s="56" t="s">
        <v>221</v>
      </c>
      <c r="O13" s="18">
        <f>SUM(O6:O12)</f>
        <v>13</v>
      </c>
    </row>
    <row r="14" spans="1:15" ht="20.100000000000001" customHeight="1" x14ac:dyDescent="0.25">
      <c r="A14" s="2">
        <f t="shared" si="0"/>
        <v>9</v>
      </c>
      <c r="B14" s="51" t="s">
        <v>154</v>
      </c>
      <c r="C14" s="4">
        <v>1</v>
      </c>
      <c r="D14" s="19"/>
      <c r="E14" s="2">
        <f t="shared" si="1"/>
        <v>9</v>
      </c>
      <c r="F14" s="55" t="s">
        <v>170</v>
      </c>
      <c r="G14" s="2">
        <v>1</v>
      </c>
      <c r="I14" s="2">
        <f t="shared" si="2"/>
        <v>9</v>
      </c>
      <c r="J14" s="38" t="s">
        <v>199</v>
      </c>
      <c r="K14" s="4">
        <v>4</v>
      </c>
    </row>
    <row r="15" spans="1:15" ht="20.100000000000001" customHeight="1" x14ac:dyDescent="0.25">
      <c r="A15" s="2">
        <f t="shared" si="0"/>
        <v>10</v>
      </c>
      <c r="B15" s="50" t="s">
        <v>179</v>
      </c>
      <c r="C15" s="4">
        <v>3</v>
      </c>
      <c r="D15" s="19"/>
      <c r="E15" s="2">
        <f t="shared" si="1"/>
        <v>10</v>
      </c>
      <c r="F15" s="55" t="s">
        <v>175</v>
      </c>
      <c r="G15" s="2">
        <v>5</v>
      </c>
      <c r="I15" s="2">
        <f t="shared" si="2"/>
        <v>10</v>
      </c>
      <c r="J15" s="38" t="s">
        <v>207</v>
      </c>
      <c r="K15" s="4">
        <v>1</v>
      </c>
    </row>
    <row r="16" spans="1:15" ht="20.100000000000001" customHeight="1" x14ac:dyDescent="0.25">
      <c r="A16" s="2">
        <f t="shared" si="0"/>
        <v>11</v>
      </c>
      <c r="B16" s="50" t="s">
        <v>156</v>
      </c>
      <c r="C16" s="4">
        <v>1</v>
      </c>
      <c r="D16" s="22"/>
      <c r="E16" s="2">
        <f t="shared" si="1"/>
        <v>11</v>
      </c>
      <c r="F16" s="55" t="s">
        <v>171</v>
      </c>
      <c r="G16" s="2">
        <v>1</v>
      </c>
      <c r="I16" s="2">
        <f t="shared" si="2"/>
        <v>11</v>
      </c>
      <c r="J16" s="38" t="s">
        <v>185</v>
      </c>
      <c r="K16" s="4">
        <v>2</v>
      </c>
    </row>
    <row r="17" spans="1:11" ht="20.100000000000001" customHeight="1" x14ac:dyDescent="0.25">
      <c r="A17" s="2">
        <f t="shared" si="0"/>
        <v>12</v>
      </c>
      <c r="B17" s="52" t="s">
        <v>149</v>
      </c>
      <c r="C17" s="5">
        <v>5</v>
      </c>
      <c r="D17" s="22"/>
      <c r="E17" s="2">
        <f t="shared" si="1"/>
        <v>12</v>
      </c>
      <c r="F17" s="55" t="s">
        <v>165</v>
      </c>
      <c r="G17" s="2">
        <v>1</v>
      </c>
      <c r="I17" s="2">
        <f t="shared" si="2"/>
        <v>12</v>
      </c>
      <c r="J17" s="38" t="s">
        <v>208</v>
      </c>
      <c r="K17" s="4">
        <v>1</v>
      </c>
    </row>
    <row r="18" spans="1:11" ht="20.100000000000001" customHeight="1" x14ac:dyDescent="0.25">
      <c r="A18" s="2">
        <f t="shared" si="0"/>
        <v>13</v>
      </c>
      <c r="B18" s="50" t="s">
        <v>143</v>
      </c>
      <c r="C18" s="4">
        <v>1</v>
      </c>
      <c r="D18" s="22"/>
      <c r="E18" s="2">
        <f t="shared" si="1"/>
        <v>13</v>
      </c>
      <c r="F18" s="51" t="s">
        <v>178</v>
      </c>
      <c r="G18" s="4">
        <v>1</v>
      </c>
      <c r="I18" s="2">
        <f t="shared" si="2"/>
        <v>13</v>
      </c>
      <c r="J18" s="38" t="s">
        <v>188</v>
      </c>
      <c r="K18" s="4">
        <v>2</v>
      </c>
    </row>
    <row r="19" spans="1:11" ht="20.100000000000001" customHeight="1" x14ac:dyDescent="0.25">
      <c r="A19" s="2">
        <f t="shared" si="0"/>
        <v>14</v>
      </c>
      <c r="B19" s="50" t="s">
        <v>153</v>
      </c>
      <c r="C19" s="4">
        <v>1</v>
      </c>
      <c r="D19" s="22"/>
      <c r="E19" s="2">
        <f t="shared" si="1"/>
        <v>14</v>
      </c>
      <c r="F19" s="55" t="s">
        <v>172</v>
      </c>
      <c r="G19" s="2">
        <v>1</v>
      </c>
      <c r="I19" s="2">
        <f t="shared" si="2"/>
        <v>14</v>
      </c>
      <c r="J19" s="38" t="s">
        <v>193</v>
      </c>
      <c r="K19" s="4">
        <v>1</v>
      </c>
    </row>
    <row r="20" spans="1:11" ht="20.100000000000001" customHeight="1" x14ac:dyDescent="0.25">
      <c r="A20" s="2">
        <f t="shared" si="0"/>
        <v>15</v>
      </c>
      <c r="B20" s="50" t="s">
        <v>140</v>
      </c>
      <c r="C20" s="4">
        <v>1</v>
      </c>
      <c r="D20" s="22"/>
      <c r="E20" s="2">
        <f t="shared" si="1"/>
        <v>15</v>
      </c>
      <c r="F20" s="55" t="s">
        <v>164</v>
      </c>
      <c r="G20" s="2">
        <v>1</v>
      </c>
      <c r="I20" s="2">
        <f t="shared" si="2"/>
        <v>15</v>
      </c>
      <c r="J20" s="38" t="s">
        <v>190</v>
      </c>
      <c r="K20" s="4">
        <v>3</v>
      </c>
    </row>
    <row r="21" spans="1:11" ht="20.100000000000001" customHeight="1" x14ac:dyDescent="0.25">
      <c r="A21" s="2">
        <f t="shared" si="0"/>
        <v>16</v>
      </c>
      <c r="B21" s="50" t="s">
        <v>150</v>
      </c>
      <c r="C21" s="5">
        <v>4</v>
      </c>
      <c r="D21" s="22"/>
      <c r="E21" s="2">
        <f t="shared" si="1"/>
        <v>16</v>
      </c>
      <c r="F21" s="55" t="s">
        <v>173</v>
      </c>
      <c r="G21" s="2">
        <v>1</v>
      </c>
      <c r="I21" s="2">
        <f t="shared" si="2"/>
        <v>16</v>
      </c>
      <c r="J21" s="58" t="s">
        <v>211</v>
      </c>
      <c r="K21" s="5">
        <v>2</v>
      </c>
    </row>
    <row r="22" spans="1:11" ht="20.100000000000001" customHeight="1" x14ac:dyDescent="0.25">
      <c r="A22" s="2">
        <f t="shared" si="0"/>
        <v>17</v>
      </c>
      <c r="B22" s="50" t="s">
        <v>147</v>
      </c>
      <c r="C22" s="5">
        <v>4</v>
      </c>
      <c r="D22" s="19"/>
      <c r="E22" s="2">
        <f t="shared" si="1"/>
        <v>17</v>
      </c>
      <c r="F22" s="55" t="s">
        <v>174</v>
      </c>
      <c r="G22" s="2">
        <v>1</v>
      </c>
      <c r="I22" s="2">
        <f t="shared" si="2"/>
        <v>17</v>
      </c>
      <c r="J22" s="38" t="s">
        <v>209</v>
      </c>
      <c r="K22" s="4">
        <v>1</v>
      </c>
    </row>
    <row r="23" spans="1:11" ht="20.100000000000001" customHeight="1" x14ac:dyDescent="0.25">
      <c r="A23" s="2">
        <f t="shared" si="0"/>
        <v>18</v>
      </c>
      <c r="B23" s="50" t="s">
        <v>141</v>
      </c>
      <c r="C23" s="4">
        <v>1</v>
      </c>
      <c r="D23" s="19"/>
      <c r="E23" s="2">
        <f t="shared" si="1"/>
        <v>18</v>
      </c>
      <c r="F23" s="55" t="s">
        <v>163</v>
      </c>
      <c r="G23" s="2">
        <v>4</v>
      </c>
      <c r="I23" s="2">
        <f t="shared" si="2"/>
        <v>18</v>
      </c>
      <c r="J23" s="38" t="s">
        <v>194</v>
      </c>
      <c r="K23" s="4">
        <v>1</v>
      </c>
    </row>
    <row r="24" spans="1:11" ht="20.100000000000001" customHeight="1" x14ac:dyDescent="0.25">
      <c r="A24" s="2">
        <f t="shared" si="0"/>
        <v>19</v>
      </c>
      <c r="B24" s="50" t="s">
        <v>144</v>
      </c>
      <c r="C24" s="4">
        <v>3</v>
      </c>
      <c r="D24" s="19"/>
      <c r="E24" s="2"/>
      <c r="F24" s="56" t="s">
        <v>158</v>
      </c>
      <c r="G24" s="18">
        <f>SUM(G6:G23)</f>
        <v>33</v>
      </c>
      <c r="I24" s="2">
        <f t="shared" si="2"/>
        <v>19</v>
      </c>
      <c r="J24" s="38" t="s">
        <v>183</v>
      </c>
      <c r="K24" s="4">
        <v>1</v>
      </c>
    </row>
    <row r="25" spans="1:11" ht="20.100000000000001" customHeight="1" x14ac:dyDescent="0.25">
      <c r="A25" s="2">
        <f t="shared" si="0"/>
        <v>20</v>
      </c>
      <c r="B25" s="51" t="s">
        <v>176</v>
      </c>
      <c r="C25" s="2">
        <v>1</v>
      </c>
      <c r="D25" s="19"/>
      <c r="I25" s="2">
        <f t="shared" si="2"/>
        <v>20</v>
      </c>
      <c r="J25" s="38" t="s">
        <v>189</v>
      </c>
      <c r="K25" s="4">
        <v>1</v>
      </c>
    </row>
    <row r="26" spans="1:11" ht="20.100000000000001" customHeight="1" x14ac:dyDescent="0.25">
      <c r="A26" s="2">
        <f t="shared" si="0"/>
        <v>21</v>
      </c>
      <c r="B26" s="38" t="s">
        <v>184</v>
      </c>
      <c r="C26" s="4">
        <v>1</v>
      </c>
      <c r="D26" s="19"/>
      <c r="I26" s="2">
        <f t="shared" si="2"/>
        <v>21</v>
      </c>
      <c r="J26" s="38" t="s">
        <v>204</v>
      </c>
      <c r="K26" s="4">
        <v>2</v>
      </c>
    </row>
    <row r="27" spans="1:11" ht="20.100000000000001" customHeight="1" x14ac:dyDescent="0.25">
      <c r="A27" s="2">
        <f t="shared" si="0"/>
        <v>22</v>
      </c>
      <c r="B27" s="52" t="s">
        <v>145</v>
      </c>
      <c r="C27" s="5">
        <v>3</v>
      </c>
      <c r="D27" s="6"/>
      <c r="I27" s="2">
        <f t="shared" si="2"/>
        <v>22</v>
      </c>
      <c r="J27" s="38" t="s">
        <v>202</v>
      </c>
      <c r="K27" s="4">
        <v>1</v>
      </c>
    </row>
    <row r="28" spans="1:11" ht="20.100000000000001" customHeight="1" x14ac:dyDescent="0.25">
      <c r="A28" s="2">
        <f t="shared" si="0"/>
        <v>23</v>
      </c>
      <c r="B28" s="51" t="s">
        <v>159</v>
      </c>
      <c r="C28" s="2">
        <v>2</v>
      </c>
      <c r="D28" s="6"/>
      <c r="I28" s="2">
        <f t="shared" si="2"/>
        <v>23</v>
      </c>
      <c r="J28" s="59" t="s">
        <v>195</v>
      </c>
      <c r="K28" s="4">
        <v>1</v>
      </c>
    </row>
    <row r="29" spans="1:11" ht="20.100000000000001" customHeight="1" x14ac:dyDescent="0.25">
      <c r="A29" s="2">
        <f t="shared" si="0"/>
        <v>24</v>
      </c>
      <c r="B29" s="51" t="s">
        <v>177</v>
      </c>
      <c r="C29" s="2">
        <v>1</v>
      </c>
      <c r="D29" s="6"/>
      <c r="I29" s="2">
        <f t="shared" si="2"/>
        <v>24</v>
      </c>
      <c r="J29" s="38" t="s">
        <v>201</v>
      </c>
      <c r="K29" s="4">
        <v>5</v>
      </c>
    </row>
    <row r="30" spans="1:11" ht="20.100000000000001" customHeight="1" x14ac:dyDescent="0.25">
      <c r="A30" s="2">
        <f t="shared" si="0"/>
        <v>25</v>
      </c>
      <c r="B30" s="65" t="s">
        <v>274</v>
      </c>
      <c r="C30" s="12">
        <v>1</v>
      </c>
      <c r="D30" s="20"/>
      <c r="I30" s="2">
        <f t="shared" si="2"/>
        <v>25</v>
      </c>
      <c r="J30" s="38" t="s">
        <v>214</v>
      </c>
      <c r="K30" s="4">
        <v>2</v>
      </c>
    </row>
    <row r="31" spans="1:11" ht="20.100000000000001" customHeight="1" x14ac:dyDescent="0.25">
      <c r="A31" s="2">
        <f t="shared" si="0"/>
        <v>26</v>
      </c>
      <c r="B31" s="50" t="s">
        <v>152</v>
      </c>
      <c r="C31" s="4">
        <v>4</v>
      </c>
      <c r="I31" s="2">
        <f t="shared" si="2"/>
        <v>26</v>
      </c>
      <c r="J31" s="38" t="s">
        <v>191</v>
      </c>
      <c r="K31" s="4">
        <v>1</v>
      </c>
    </row>
    <row r="32" spans="1:11" ht="20.100000000000001" customHeight="1" x14ac:dyDescent="0.25">
      <c r="A32" s="2">
        <f t="shared" si="0"/>
        <v>27</v>
      </c>
      <c r="B32" s="51" t="s">
        <v>155</v>
      </c>
      <c r="C32" s="4">
        <v>1</v>
      </c>
      <c r="I32" s="2">
        <f t="shared" si="2"/>
        <v>27</v>
      </c>
      <c r="J32" s="38" t="s">
        <v>181</v>
      </c>
      <c r="K32" s="4">
        <v>2</v>
      </c>
    </row>
    <row r="33" spans="1:11" ht="20.100000000000001" customHeight="1" x14ac:dyDescent="0.25">
      <c r="A33" s="2"/>
      <c r="B33" s="53" t="s">
        <v>158</v>
      </c>
      <c r="C33" s="18">
        <f>SUM(C6:C32)</f>
        <v>60</v>
      </c>
      <c r="I33" s="2">
        <f t="shared" si="2"/>
        <v>28</v>
      </c>
      <c r="J33" s="58" t="s">
        <v>212</v>
      </c>
      <c r="K33" s="5">
        <v>3</v>
      </c>
    </row>
    <row r="34" spans="1:11" ht="20.100000000000001" customHeight="1" x14ac:dyDescent="0.25">
      <c r="I34" s="2">
        <f t="shared" si="2"/>
        <v>29</v>
      </c>
      <c r="J34" s="58" t="s">
        <v>216</v>
      </c>
      <c r="K34" s="4">
        <v>1</v>
      </c>
    </row>
    <row r="35" spans="1:11" ht="20.100000000000001" customHeight="1" x14ac:dyDescent="0.25">
      <c r="I35" s="2">
        <f t="shared" si="2"/>
        <v>30</v>
      </c>
      <c r="J35" s="38" t="s">
        <v>198</v>
      </c>
      <c r="K35" s="4">
        <v>1</v>
      </c>
    </row>
    <row r="36" spans="1:11" ht="20.100000000000001" customHeight="1" x14ac:dyDescent="0.25">
      <c r="I36" s="2">
        <f t="shared" si="2"/>
        <v>31</v>
      </c>
      <c r="J36" s="38" t="s">
        <v>192</v>
      </c>
      <c r="K36" s="4">
        <v>2</v>
      </c>
    </row>
    <row r="37" spans="1:11" ht="20.100000000000001" customHeight="1" x14ac:dyDescent="0.25">
      <c r="I37" s="2">
        <f t="shared" si="2"/>
        <v>32</v>
      </c>
      <c r="J37" s="38" t="s">
        <v>187</v>
      </c>
      <c r="K37" s="4">
        <v>1</v>
      </c>
    </row>
    <row r="38" spans="1:11" ht="20.100000000000001" customHeight="1" x14ac:dyDescent="0.25">
      <c r="I38" s="2">
        <f t="shared" si="2"/>
        <v>33</v>
      </c>
      <c r="J38" s="42" t="s">
        <v>210</v>
      </c>
      <c r="K38" s="5">
        <v>1</v>
      </c>
    </row>
    <row r="39" spans="1:11" ht="20.100000000000001" customHeight="1" x14ac:dyDescent="0.25">
      <c r="I39" s="2">
        <f t="shared" si="2"/>
        <v>34</v>
      </c>
      <c r="J39" s="38" t="s">
        <v>203</v>
      </c>
      <c r="K39" s="4">
        <v>1</v>
      </c>
    </row>
    <row r="40" spans="1:11" ht="20.100000000000001" customHeight="1" x14ac:dyDescent="0.25">
      <c r="I40" s="2"/>
      <c r="J40" s="56" t="s">
        <v>158</v>
      </c>
      <c r="K40" s="18">
        <f>SUM(K6:K39)</f>
        <v>57</v>
      </c>
    </row>
  </sheetData>
  <sortState ref="J7:K40">
    <sortCondition ref="J7:J40"/>
  </sortState>
  <mergeCells count="4">
    <mergeCell ref="A2:C3"/>
    <mergeCell ref="E2:G3"/>
    <mergeCell ref="I2:K3"/>
    <mergeCell ref="M2:O3"/>
  </mergeCells>
  <pageMargins left="1.5748031496062993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3"/>
  <sheetViews>
    <sheetView topLeftCell="A10" workbookViewId="0">
      <selection activeCell="A2" sqref="A2:C23"/>
    </sheetView>
  </sheetViews>
  <sheetFormatPr defaultRowHeight="20.100000000000001" customHeight="1" x14ac:dyDescent="0.25"/>
  <cols>
    <col min="1" max="1" width="9.140625" style="1"/>
    <col min="2" max="2" width="51.42578125" style="16" customWidth="1"/>
  </cols>
  <sheetData>
    <row r="2" spans="1:3" ht="20.100000000000001" customHeight="1" x14ac:dyDescent="0.25">
      <c r="A2" s="76" t="s">
        <v>224</v>
      </c>
      <c r="B2" s="76"/>
      <c r="C2" s="76"/>
    </row>
    <row r="3" spans="1:3" ht="20.100000000000001" customHeight="1" x14ac:dyDescent="0.25">
      <c r="A3" s="76"/>
      <c r="B3" s="76"/>
      <c r="C3" s="76"/>
    </row>
    <row r="4" spans="1:3" ht="20.100000000000001" customHeight="1" x14ac:dyDescent="0.25">
      <c r="C4" s="1"/>
    </row>
    <row r="5" spans="1:3" ht="20.100000000000001" customHeight="1" x14ac:dyDescent="0.25">
      <c r="A5" s="2" t="s">
        <v>2</v>
      </c>
      <c r="B5" s="2" t="s">
        <v>0</v>
      </c>
      <c r="C5" s="2" t="s">
        <v>1</v>
      </c>
    </row>
    <row r="6" spans="1:3" ht="20.100000000000001" customHeight="1" x14ac:dyDescent="0.25">
      <c r="A6" s="2">
        <v>1</v>
      </c>
      <c r="B6" s="57" t="s">
        <v>272</v>
      </c>
      <c r="C6" s="9">
        <v>1</v>
      </c>
    </row>
    <row r="7" spans="1:3" ht="20.100000000000001" customHeight="1" x14ac:dyDescent="0.25">
      <c r="A7" s="2">
        <f>A6+1</f>
        <v>2</v>
      </c>
      <c r="B7" s="42" t="s">
        <v>235</v>
      </c>
      <c r="C7" s="4">
        <v>1</v>
      </c>
    </row>
    <row r="8" spans="1:3" ht="20.100000000000001" customHeight="1" x14ac:dyDescent="0.25">
      <c r="A8" s="2">
        <f t="shared" ref="A8:A22" si="0">A7+1</f>
        <v>3</v>
      </c>
      <c r="B8" s="64" t="s">
        <v>273</v>
      </c>
      <c r="C8" s="9">
        <v>2</v>
      </c>
    </row>
    <row r="9" spans="1:3" ht="20.100000000000001" customHeight="1" x14ac:dyDescent="0.25">
      <c r="A9" s="2">
        <f t="shared" si="0"/>
        <v>4</v>
      </c>
      <c r="B9" s="42" t="s">
        <v>231</v>
      </c>
      <c r="C9" s="4">
        <v>1</v>
      </c>
    </row>
    <row r="10" spans="1:3" ht="20.100000000000001" customHeight="1" x14ac:dyDescent="0.25">
      <c r="A10" s="2">
        <f t="shared" si="0"/>
        <v>5</v>
      </c>
      <c r="B10" s="42" t="s">
        <v>227</v>
      </c>
      <c r="C10" s="4">
        <v>1</v>
      </c>
    </row>
    <row r="11" spans="1:3" ht="20.100000000000001" customHeight="1" x14ac:dyDescent="0.25">
      <c r="A11" s="2">
        <f t="shared" si="0"/>
        <v>6</v>
      </c>
      <c r="B11" s="42" t="s">
        <v>226</v>
      </c>
      <c r="C11" s="4">
        <v>1</v>
      </c>
    </row>
    <row r="12" spans="1:3" ht="20.100000000000001" customHeight="1" x14ac:dyDescent="0.25">
      <c r="A12" s="2">
        <f t="shared" si="0"/>
        <v>7</v>
      </c>
      <c r="B12" s="42" t="s">
        <v>237</v>
      </c>
      <c r="C12" s="4">
        <v>1</v>
      </c>
    </row>
    <row r="13" spans="1:3" ht="20.100000000000001" customHeight="1" x14ac:dyDescent="0.25">
      <c r="A13" s="2">
        <f t="shared" si="0"/>
        <v>8</v>
      </c>
      <c r="B13" s="42" t="s">
        <v>238</v>
      </c>
      <c r="C13" s="4">
        <v>3</v>
      </c>
    </row>
    <row r="14" spans="1:3" ht="20.100000000000001" customHeight="1" x14ac:dyDescent="0.25">
      <c r="A14" s="2">
        <f t="shared" si="0"/>
        <v>9</v>
      </c>
      <c r="B14" s="42" t="s">
        <v>236</v>
      </c>
      <c r="C14" s="4">
        <v>1</v>
      </c>
    </row>
    <row r="15" spans="1:3" ht="20.100000000000001" customHeight="1" x14ac:dyDescent="0.25">
      <c r="A15" s="2">
        <f t="shared" si="0"/>
        <v>10</v>
      </c>
      <c r="B15" s="42" t="s">
        <v>228</v>
      </c>
      <c r="C15" s="4">
        <v>1</v>
      </c>
    </row>
    <row r="16" spans="1:3" ht="20.100000000000001" customHeight="1" x14ac:dyDescent="0.25">
      <c r="A16" s="2">
        <f t="shared" si="0"/>
        <v>11</v>
      </c>
      <c r="B16" s="42" t="s">
        <v>230</v>
      </c>
      <c r="C16" s="4">
        <v>1</v>
      </c>
    </row>
    <row r="17" spans="1:3" ht="20.100000000000001" customHeight="1" x14ac:dyDescent="0.25">
      <c r="A17" s="2">
        <f t="shared" si="0"/>
        <v>12</v>
      </c>
      <c r="B17" s="61" t="s">
        <v>233</v>
      </c>
      <c r="C17" s="4">
        <v>3</v>
      </c>
    </row>
    <row r="18" spans="1:3" ht="20.100000000000001" customHeight="1" x14ac:dyDescent="0.25">
      <c r="A18" s="2">
        <f t="shared" si="0"/>
        <v>13</v>
      </c>
      <c r="B18" s="42" t="s">
        <v>239</v>
      </c>
      <c r="C18" s="4">
        <v>3</v>
      </c>
    </row>
    <row r="19" spans="1:3" ht="20.100000000000001" customHeight="1" x14ac:dyDescent="0.25">
      <c r="A19" s="2">
        <f t="shared" si="0"/>
        <v>14</v>
      </c>
      <c r="B19" s="42" t="s">
        <v>232</v>
      </c>
      <c r="C19" s="4">
        <v>2</v>
      </c>
    </row>
    <row r="20" spans="1:3" ht="20.100000000000001" customHeight="1" x14ac:dyDescent="0.25">
      <c r="A20" s="2">
        <f t="shared" si="0"/>
        <v>15</v>
      </c>
      <c r="B20" s="62" t="s">
        <v>225</v>
      </c>
      <c r="C20" s="17">
        <v>3</v>
      </c>
    </row>
    <row r="21" spans="1:3" ht="20.100000000000001" customHeight="1" x14ac:dyDescent="0.25">
      <c r="A21" s="2">
        <f t="shared" si="0"/>
        <v>16</v>
      </c>
      <c r="B21" s="42" t="s">
        <v>234</v>
      </c>
      <c r="C21" s="4">
        <v>3</v>
      </c>
    </row>
    <row r="22" spans="1:3" ht="20.100000000000001" customHeight="1" x14ac:dyDescent="0.25">
      <c r="A22" s="2">
        <f t="shared" si="0"/>
        <v>17</v>
      </c>
      <c r="B22" s="42" t="s">
        <v>229</v>
      </c>
      <c r="C22" s="4">
        <v>3</v>
      </c>
    </row>
    <row r="23" spans="1:3" ht="20.100000000000001" customHeight="1" x14ac:dyDescent="0.25">
      <c r="A23" s="2"/>
      <c r="B23" s="56" t="s">
        <v>158</v>
      </c>
      <c r="C23" s="18">
        <f>SUM(C6:C22)</f>
        <v>31</v>
      </c>
    </row>
  </sheetData>
  <sortState ref="B7:C21">
    <sortCondition ref="B7:B21"/>
  </sortState>
  <mergeCells count="1">
    <mergeCell ref="A2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Percetakan</vt:lpstr>
      <vt:lpstr> Percetakan 2</vt:lpstr>
      <vt:lpstr>A. Yani &amp; GPA</vt:lpstr>
      <vt:lpstr>Bekasi</vt:lpstr>
      <vt:lpstr>' Percetakan 2'!Print_Area</vt:lpstr>
      <vt:lpstr>'A. Yani &amp; GPA'!Print_Area</vt:lpstr>
      <vt:lpstr>Bekasi!Print_Area</vt:lpstr>
      <vt:lpstr>Percetakan!Print_Area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2026-07-02T06:44:03Z</dcterms:modified>
</cp:coreProperties>
</file>